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oree\Downloads\"/>
    </mc:Choice>
  </mc:AlternateContent>
  <xr:revisionPtr revIDLastSave="0" documentId="8_{2533F83A-6C29-404D-A716-E6A1CB6F53FD}" xr6:coauthVersionLast="47" xr6:coauthVersionMax="47" xr10:uidLastSave="{00000000-0000-0000-0000-000000000000}"/>
  <bookViews>
    <workbookView xWindow="-180" yWindow="0" windowWidth="23016" windowHeight="12216" xr2:uid="{00000000-000D-0000-FFFF-FFFF00000000}"/>
  </bookViews>
  <sheets>
    <sheet name="dashboard" sheetId="9" r:id="rId1"/>
    <sheet name="data (2)" sheetId="14" r:id="rId2"/>
    <sheet name="source of data" sheetId="4" r:id="rId3"/>
    <sheet name="pivot" sheetId="13" r:id="rId4"/>
  </sheets>
  <definedNames>
    <definedName name="ExternalData_2" localSheetId="1" hidden="1">'data (2)'!$A$1:$X$128</definedName>
    <definedName name="Slicer_الصنف">#N/A</definedName>
    <definedName name="Slicer_المحافظة">#N/A</definedName>
    <definedName name="Slicer_المسئول_عن_التسليم">#N/A</definedName>
    <definedName name="Slicer_منصة_البيع">#N/A</definedName>
  </definedNames>
  <calcPr calcId="191028"/>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128" i="14" l="1"/>
  <c r="Y127" i="14"/>
  <c r="P127" i="14"/>
  <c r="Y126" i="14"/>
  <c r="P126" i="14"/>
  <c r="Y125" i="14"/>
  <c r="P125" i="14"/>
  <c r="Y124" i="14"/>
  <c r="P124" i="14"/>
  <c r="Y123" i="14"/>
  <c r="P123" i="14"/>
  <c r="Y122" i="14"/>
  <c r="P122" i="14"/>
  <c r="Y121" i="14"/>
  <c r="P121" i="14"/>
  <c r="Y120" i="14"/>
  <c r="P120" i="14"/>
  <c r="Y119" i="14"/>
  <c r="P119" i="14"/>
  <c r="Y118" i="14"/>
  <c r="P118" i="14"/>
  <c r="Y117" i="14"/>
  <c r="P117" i="14"/>
  <c r="Y116" i="14"/>
  <c r="P116" i="14"/>
  <c r="Y115" i="14"/>
  <c r="P115" i="14"/>
  <c r="Y114" i="14"/>
  <c r="P114" i="14"/>
  <c r="Y113" i="14"/>
  <c r="P113" i="14"/>
  <c r="Y112" i="14"/>
  <c r="P112" i="14"/>
  <c r="Y111" i="14"/>
  <c r="P111" i="14"/>
  <c r="Y110" i="14"/>
  <c r="P110" i="14"/>
  <c r="Y109" i="14"/>
  <c r="P109" i="14"/>
  <c r="Y108" i="14"/>
  <c r="P108" i="14"/>
  <c r="Y107" i="14"/>
  <c r="P107" i="14"/>
  <c r="Y106" i="14"/>
  <c r="P106" i="14"/>
  <c r="Y105" i="14"/>
  <c r="P105" i="14"/>
  <c r="Y104" i="14"/>
  <c r="P104" i="14"/>
  <c r="Y103" i="14"/>
  <c r="P103" i="14"/>
  <c r="Y102" i="14"/>
  <c r="P102" i="14"/>
  <c r="Y101" i="14"/>
  <c r="P101" i="14"/>
  <c r="Y100" i="14"/>
  <c r="P100" i="14"/>
  <c r="Y99" i="14"/>
  <c r="P99" i="14"/>
  <c r="Y98" i="14"/>
  <c r="P98" i="14"/>
  <c r="Y97" i="14"/>
  <c r="P97" i="14"/>
  <c r="Y96" i="14"/>
  <c r="P96" i="14"/>
  <c r="Y95" i="14"/>
  <c r="P95" i="14"/>
  <c r="Y94" i="14"/>
  <c r="P94" i="14"/>
  <c r="P93" i="14"/>
  <c r="Y92" i="14"/>
  <c r="P92" i="14"/>
  <c r="Y91" i="14"/>
  <c r="P91" i="14"/>
  <c r="Y90" i="14"/>
  <c r="P90" i="14"/>
  <c r="Y89" i="14"/>
  <c r="P89" i="14"/>
  <c r="Y88" i="14"/>
  <c r="P88" i="14"/>
  <c r="Y87" i="14"/>
  <c r="P87" i="14"/>
  <c r="Y86" i="14"/>
  <c r="P86" i="14"/>
  <c r="Y85" i="14"/>
  <c r="P85" i="14"/>
  <c r="Y84" i="14"/>
  <c r="P84" i="14"/>
  <c r="Y83" i="14"/>
  <c r="P83" i="14"/>
  <c r="Y82" i="14"/>
  <c r="P82" i="14"/>
  <c r="Y81" i="14"/>
  <c r="P81" i="14"/>
  <c r="Y80" i="14"/>
  <c r="P80" i="14"/>
  <c r="Y79" i="14"/>
  <c r="P79" i="14"/>
  <c r="Y78" i="14"/>
  <c r="P78" i="14"/>
  <c r="Y77" i="14"/>
  <c r="P77" i="14"/>
  <c r="Y76" i="14"/>
  <c r="P76" i="14"/>
  <c r="Y75" i="14"/>
  <c r="P75" i="14"/>
  <c r="Y74" i="14"/>
  <c r="P74" i="14"/>
  <c r="Y73" i="14"/>
  <c r="P73" i="14"/>
  <c r="Y72" i="14"/>
  <c r="P72" i="14"/>
  <c r="Y71" i="14"/>
  <c r="P71" i="14"/>
  <c r="Y70" i="14"/>
  <c r="P70" i="14"/>
  <c r="Y69" i="14"/>
  <c r="P69" i="14"/>
  <c r="Y68" i="14"/>
  <c r="P68" i="14"/>
  <c r="Y67" i="14"/>
  <c r="P67" i="14"/>
  <c r="Y66" i="14"/>
  <c r="P66" i="14"/>
  <c r="Y65" i="14"/>
  <c r="Y64" i="14"/>
  <c r="Y63" i="14"/>
  <c r="Y62" i="14"/>
  <c r="Y61" i="14"/>
  <c r="Y60" i="14"/>
  <c r="Y59" i="14"/>
  <c r="Y58" i="14"/>
  <c r="Y57" i="14"/>
  <c r="Y56" i="14"/>
  <c r="Y55" i="14"/>
  <c r="Y54" i="14"/>
  <c r="Y53" i="14"/>
  <c r="Y52" i="14"/>
  <c r="Y51" i="14"/>
  <c r="Y50" i="14"/>
  <c r="Y49" i="14"/>
  <c r="Y48" i="14"/>
  <c r="Y47" i="14"/>
  <c r="Y46" i="14"/>
  <c r="Y45" i="14"/>
  <c r="Y44" i="14"/>
  <c r="Y43" i="14"/>
  <c r="Y42" i="14"/>
  <c r="Y41" i="14"/>
  <c r="Y40" i="14"/>
  <c r="Y39" i="14"/>
  <c r="Y38" i="14"/>
  <c r="Y37" i="14"/>
  <c r="Y36" i="14"/>
  <c r="Y35" i="14"/>
  <c r="Y34" i="14"/>
  <c r="Y33" i="14"/>
  <c r="Y32" i="14"/>
  <c r="Y31" i="14"/>
  <c r="Y30" i="14"/>
  <c r="Y29" i="14"/>
  <c r="Y28" i="14"/>
  <c r="Y27" i="14"/>
  <c r="Y26" i="14"/>
  <c r="Y25" i="14"/>
  <c r="Y24" i="14"/>
  <c r="Y23" i="14"/>
  <c r="Y22" i="14"/>
  <c r="Y21" i="14"/>
  <c r="Y20" i="14"/>
  <c r="Y19" i="14"/>
  <c r="Y18" i="14"/>
  <c r="Y17" i="14"/>
  <c r="Y16" i="14"/>
  <c r="Y15" i="14"/>
  <c r="Y14" i="14"/>
  <c r="Y13" i="14"/>
  <c r="Y12" i="14"/>
  <c r="Y10" i="14"/>
  <c r="Y9" i="14"/>
  <c r="Y8" i="14"/>
  <c r="Y7" i="14"/>
  <c r="Y6" i="14"/>
  <c r="AN8" i="13"/>
  <c r="AL7" i="13"/>
  <c r="AJ7"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EA93A2-FBE4-459A-B3D5-0A2A9873EB90}"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4CF41341-4A93-48CD-B713-959B2EFEA670}"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s>
</file>

<file path=xl/sharedStrings.xml><?xml version="1.0" encoding="utf-8"?>
<sst xmlns="http://schemas.openxmlformats.org/spreadsheetml/2006/main" count="2805" uniqueCount="410">
  <si>
    <t>أسم العميل</t>
  </si>
  <si>
    <t>العنوان</t>
  </si>
  <si>
    <t>المنتج</t>
  </si>
  <si>
    <t>تاريخ التسليم</t>
  </si>
  <si>
    <t>المسئول عن التسليم</t>
  </si>
  <si>
    <t>م</t>
  </si>
  <si>
    <t>رقم الموبيل</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</si>
  <si>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</si>
  <si>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</si>
  <si>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</si>
  <si>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</si>
  <si>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</si>
  <si>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</si>
  <si>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</si>
  <si>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</si>
  <si>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</si>
  <si>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</si>
  <si>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27\7\2024</t>
  </si>
  <si>
    <t>محمود</t>
  </si>
  <si>
    <t>سموحه - اسكندريه</t>
  </si>
  <si>
    <t xml:space="preserve">سرير منطبق اسود والقماش اسود </t>
  </si>
  <si>
    <t>28\7\2024</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</si>
  <si>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</si>
  <si>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</si>
  <si>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</si>
  <si>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</si>
  <si>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</si>
  <si>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</si>
  <si>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</si>
  <si>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</si>
  <si>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</si>
  <si>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</si>
  <si>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</si>
  <si>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</si>
  <si>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</si>
  <si>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</si>
  <si>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</si>
  <si>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</si>
  <si>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</si>
  <si>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</si>
  <si>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</si>
  <si>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</si>
  <si>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</si>
  <si>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</si>
  <si>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</si>
  <si>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</si>
  <si>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</si>
  <si>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</si>
  <si>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</si>
  <si>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</si>
  <si>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</si>
  <si>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</si>
  <si>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</si>
  <si>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</si>
  <si>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</si>
  <si>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</si>
  <si>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</si>
  <si>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</si>
  <si>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</si>
  <si>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</si>
  <si>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</si>
  <si>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</si>
  <si>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</si>
  <si>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</si>
  <si>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</si>
  <si>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</si>
  <si>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</si>
  <si>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</si>
  <si>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</si>
  <si>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</si>
  <si>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</si>
  <si>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</si>
  <si>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</si>
  <si>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</si>
  <si>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</si>
  <si>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</si>
  <si>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</si>
  <si>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</si>
  <si>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</si>
  <si>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</si>
  <si>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</si>
  <si>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1229928475-01022373996</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</si>
  <si>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</si>
  <si>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</si>
  <si>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</si>
  <si>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</si>
  <si>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</si>
  <si>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</si>
  <si>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</si>
  <si>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</si>
  <si>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</si>
  <si>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</si>
  <si>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</si>
  <si>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</si>
  <si>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</si>
  <si>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</si>
  <si>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</si>
  <si>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</si>
  <si>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</si>
  <si>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</si>
  <si>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</si>
  <si>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</si>
  <si>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</si>
  <si>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</si>
  <si>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</si>
  <si>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</si>
  <si>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</si>
  <si>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</si>
  <si>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</si>
  <si>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</si>
  <si>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</si>
  <si>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</si>
  <si>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</si>
  <si>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</si>
  <si>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</si>
  <si>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</si>
  <si>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</si>
  <si>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</si>
  <si>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</si>
  <si>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</si>
  <si>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</si>
  <si>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</si>
  <si>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</si>
  <si>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</si>
  <si>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</si>
  <si>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</si>
  <si>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</si>
  <si>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</si>
  <si>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</si>
  <si>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</si>
  <si>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</si>
  <si>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</si>
  <si>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</si>
  <si>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</si>
  <si>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</si>
  <si>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</si>
  <si>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</si>
  <si>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</si>
  <si>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</si>
  <si>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</si>
  <si>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</si>
  <si>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</si>
  <si>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</si>
  <si>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</si>
  <si>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</si>
  <si>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</si>
  <si>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14/9/224</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</si>
  <si>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</si>
  <si>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</si>
  <si>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</si>
  <si>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</si>
  <si>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</si>
  <si>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</si>
  <si>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</si>
  <si>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</si>
  <si>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</si>
  <si>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</si>
  <si>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</si>
  <si>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</si>
  <si>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سحارة</t>
  </si>
  <si>
    <t>ركنة بسرير</t>
  </si>
  <si>
    <t>كنبة</t>
  </si>
  <si>
    <t>كرسى</t>
  </si>
  <si>
    <t>فنسيا</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</si>
  <si>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</si>
  <si>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</si>
  <si>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</si>
  <si>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</si>
  <si>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</si>
  <si>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</si>
  <si>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</si>
  <si>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</si>
  <si>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</si>
  <si>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</si>
  <si>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</si>
  <si>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</si>
  <si>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</si>
  <si>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</si>
  <si>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</si>
  <si>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</si>
  <si>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</si>
  <si>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</si>
  <si>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</si>
  <si>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</si>
  <si>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</si>
  <si>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</si>
  <si>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</si>
  <si>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</si>
  <si>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</si>
  <si>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</si>
  <si>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</si>
  <si>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نم التسليم</t>
  </si>
  <si>
    <t>فشل التسليم</t>
  </si>
  <si>
    <t>لغى</t>
  </si>
  <si>
    <t>نم التصنيع</t>
  </si>
  <si>
    <t>15/9/2024</t>
  </si>
  <si>
    <t>اسامه</t>
  </si>
  <si>
    <t>16/9/2024</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</si>
  <si>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</si>
  <si>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</si>
  <si>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</si>
  <si>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</si>
  <si>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</si>
  <si>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</si>
  <si>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</si>
  <si>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كنبه</t>
  </si>
  <si>
    <t>4×1</t>
  </si>
  <si>
    <t xml:space="preserve">اسود </t>
  </si>
  <si>
    <t>مرتجع</t>
  </si>
  <si>
    <t>31/9/2024</t>
  </si>
  <si>
    <t>الحج محمد السويس</t>
  </si>
  <si>
    <t xml:space="preserve">السويس </t>
  </si>
  <si>
    <t>السويس</t>
  </si>
  <si>
    <t>فانتاستك</t>
  </si>
  <si>
    <t>ملون</t>
  </si>
  <si>
    <t>فنيسيا</t>
  </si>
  <si>
    <t>رصاصي مشجر</t>
  </si>
  <si>
    <t>اسزد</t>
  </si>
  <si>
    <t>بيج</t>
  </si>
  <si>
    <t>شيزلونج</t>
  </si>
  <si>
    <t xml:space="preserve">نبيتى </t>
  </si>
  <si>
    <t>عمرو الأسود</t>
  </si>
  <si>
    <t>الزمالك</t>
  </si>
  <si>
    <t>لغي</t>
  </si>
  <si>
    <t>مخزن شيك هومز</t>
  </si>
  <si>
    <t xml:space="preserve">كنبه </t>
  </si>
  <si>
    <t xml:space="preserve">بترولى </t>
  </si>
  <si>
    <t xml:space="preserve">تم التسليم بمعرفه الحج سيد </t>
  </si>
  <si>
    <t xml:space="preserve">تم التسليم </t>
  </si>
  <si>
    <t xml:space="preserve">أكتوبر </t>
  </si>
  <si>
    <t>التجمع</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</si>
  <si>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</si>
  <si>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</si>
  <si>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</si>
  <si>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</si>
  <si>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</si>
  <si>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</si>
  <si>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</si>
  <si>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</si>
  <si>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</si>
  <si>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</si>
  <si>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</si>
  <si>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</si>
  <si>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 xml:space="preserve">منزلى </t>
  </si>
  <si>
    <t>بلحه</t>
  </si>
  <si>
    <t>خشب بنى فاتح</t>
  </si>
  <si>
    <t>فانتستيك</t>
  </si>
  <si>
    <t>الوان</t>
  </si>
  <si>
    <t>المعرض مدينه نصر</t>
  </si>
  <si>
    <t xml:space="preserve">اقرب وقت </t>
  </si>
  <si>
    <t>فاطمه محمد</t>
  </si>
  <si>
    <t>أكتوبر الجيزه</t>
  </si>
  <si>
    <t>الشيخ زايد اكتوبر</t>
  </si>
  <si>
    <t>بولا هومزمارت</t>
  </si>
  <si>
    <t>مسيو هومزمارت</t>
  </si>
  <si>
    <t>4800+300شحن</t>
  </si>
  <si>
    <t>5000+300شحن</t>
  </si>
  <si>
    <t xml:space="preserve">محمد شكرى </t>
  </si>
  <si>
    <t>ارينا</t>
  </si>
  <si>
    <t>بترولى</t>
  </si>
  <si>
    <t>مسبق</t>
  </si>
  <si>
    <t>3/12/204</t>
  </si>
  <si>
    <t>so3290</t>
  </si>
  <si>
    <t>منزلى</t>
  </si>
  <si>
    <t>مدينتى</t>
  </si>
  <si>
    <t>s_6725</t>
  </si>
  <si>
    <t>حماده</t>
  </si>
  <si>
    <t>صفاء عبد الباقي</t>
  </si>
  <si>
    <t xml:space="preserve">كينج </t>
  </si>
  <si>
    <t>s_6806</t>
  </si>
  <si>
    <t xml:space="preserve">سرير </t>
  </si>
  <si>
    <t>s-6626</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</si>
  <si>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</si>
  <si>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</si>
  <si>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</si>
  <si>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</si>
  <si>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</si>
  <si>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</si>
  <si>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</si>
  <si>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</si>
  <si>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</si>
  <si>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</si>
  <si>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</si>
  <si>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</si>
  <si>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5700+300شحن</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</si>
  <si>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</si>
  <si>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</si>
  <si>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</si>
  <si>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</si>
  <si>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</si>
  <si>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</si>
  <si>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</si>
  <si>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</si>
  <si>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</si>
  <si>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</si>
  <si>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</si>
  <si>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</si>
  <si>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</si>
  <si>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</si>
  <si>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</si>
  <si>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</si>
  <si>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</si>
  <si>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</si>
  <si>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</si>
  <si>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هومزمارت </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</si>
  <si>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</si>
  <si>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</si>
  <si>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</si>
  <si>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</si>
  <si>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</si>
  <si>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</si>
  <si>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</si>
  <si>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</si>
  <si>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</si>
  <si>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</si>
  <si>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</si>
  <si>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</si>
  <si>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</si>
  <si>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</si>
  <si>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</si>
  <si>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نوع الصنف</t>
  </si>
  <si>
    <t xml:space="preserve"> الصنف</t>
  </si>
  <si>
    <t>الجيزة</t>
  </si>
  <si>
    <t>الإسكندرية</t>
  </si>
  <si>
    <t>مطروح</t>
  </si>
  <si>
    <t>البحر الأحمر</t>
  </si>
  <si>
    <t>القاهرة</t>
  </si>
  <si>
    <t>القليوبية</t>
  </si>
  <si>
    <t xml:space="preserve">المحافظة </t>
  </si>
  <si>
    <t>أسيوط</t>
  </si>
  <si>
    <t>اللون</t>
  </si>
  <si>
    <t>نوع العميل</t>
  </si>
  <si>
    <t>افراد</t>
  </si>
  <si>
    <t>شركات</t>
  </si>
  <si>
    <t>كيمت</t>
  </si>
  <si>
    <t>معاد الانتظار(الفعلي)</t>
  </si>
  <si>
    <t>معاد الانتظار(الهدف)</t>
  </si>
  <si>
    <t>طريقة الدفع</t>
  </si>
  <si>
    <t>النوع</t>
  </si>
  <si>
    <t>كاش</t>
  </si>
  <si>
    <t xml:space="preserve">سرير كيفنج مقاس 90 لون ازرق </t>
  </si>
  <si>
    <t>قهوه</t>
  </si>
  <si>
    <t>كنبه سرير</t>
  </si>
  <si>
    <t>ركنه</t>
  </si>
  <si>
    <t>سحاره</t>
  </si>
  <si>
    <t>فردى خشب موسكى</t>
  </si>
  <si>
    <t>فوتيه فنيسيا</t>
  </si>
  <si>
    <t>سرير منطبق اسود وقماش اسود</t>
  </si>
  <si>
    <t>كوين</t>
  </si>
  <si>
    <t>ادوار</t>
  </si>
  <si>
    <t>استيل</t>
  </si>
  <si>
    <t>الصنف</t>
  </si>
  <si>
    <t>2 كنبه سحاره بمخدع</t>
  </si>
  <si>
    <t xml:space="preserve">2 كنبه سحاره بدون مخدع </t>
  </si>
  <si>
    <t>سرير نوفال ابيض مقاس 80</t>
  </si>
  <si>
    <t>سرير فردى خشب موسكى الحديد ابيض مقاس 80</t>
  </si>
  <si>
    <t xml:space="preserve">2 سرير كيفنج 120 اسود </t>
  </si>
  <si>
    <t xml:space="preserve">سرير كينج ابيض مقاس 80 التصميم الجديد </t>
  </si>
  <si>
    <t>4سرير فردى خشب موسكى الحديد ابيض مقاس 80</t>
  </si>
  <si>
    <t xml:space="preserve">2 فوتيه فنيسيا </t>
  </si>
  <si>
    <t>سرير اسبانى ابيض 120</t>
  </si>
  <si>
    <t>2 سريرفورجينا خشب موسكى ابيض مقاس 120</t>
  </si>
  <si>
    <t xml:space="preserve">2 سرير ارفيل 120 اسود </t>
  </si>
  <si>
    <t xml:space="preserve">سرير 3 ادوار اسود مقاس 100 </t>
  </si>
  <si>
    <t>سرير اسبانى اسود مقاس 120</t>
  </si>
  <si>
    <t xml:space="preserve">سرير كوين مقاس 140 دهبي ورمادى </t>
  </si>
  <si>
    <t xml:space="preserve">سرير كيفنج 120 رمادى </t>
  </si>
  <si>
    <t xml:space="preserve">سرير نوفال  90 اسود </t>
  </si>
  <si>
    <t xml:space="preserve">            2 سرير كيفنج 100 اسود </t>
  </si>
  <si>
    <t xml:space="preserve">سرير 3 ادوار ابيض مقاس 80 ابيض </t>
  </si>
  <si>
    <t xml:space="preserve">سرير كيفنج دورين مقاس 80 ابيض </t>
  </si>
  <si>
    <t>سرير استيل ازرق مقاس 140</t>
  </si>
  <si>
    <t xml:space="preserve">سرير كينج 120 بنفسجى </t>
  </si>
  <si>
    <t xml:space="preserve">كنبه سرير 4 حركه </t>
  </si>
  <si>
    <t xml:space="preserve">سرير 3 ادوار اسود مقاس 90 </t>
  </si>
  <si>
    <t xml:space="preserve">سرير اسبانى  140 اسود وبيج </t>
  </si>
  <si>
    <t xml:space="preserve"> 2. سرير فورجينا ابيض مقاس 120</t>
  </si>
  <si>
    <t xml:space="preserve">   2. سرير اسبانى ابيض 120</t>
  </si>
  <si>
    <t xml:space="preserve">سرير كيفنج دورين مقاس 120 رمادى </t>
  </si>
  <si>
    <t xml:space="preserve">سرير نوفال 100 رمادى </t>
  </si>
  <si>
    <t xml:space="preserve">سرير نوفال مقاس 80 ابيض </t>
  </si>
  <si>
    <t>الكمية</t>
  </si>
  <si>
    <t>(blank)</t>
  </si>
  <si>
    <t>Grand Total</t>
  </si>
  <si>
    <t>Row Labels</t>
  </si>
  <si>
    <t xml:space="preserve">Count of منصة البيع </t>
  </si>
  <si>
    <t xml:space="preserve">Count of المحافظة </t>
  </si>
  <si>
    <t xml:space="preserve">ترابيزه قهوه مرتفعه برف سحاب </t>
  </si>
  <si>
    <t>ترابيزه قهوه 2 رافع</t>
  </si>
  <si>
    <t>ترابيزة</t>
  </si>
  <si>
    <t/>
  </si>
  <si>
    <t>Count of الصنف</t>
  </si>
  <si>
    <t>Count of النوع</t>
  </si>
  <si>
    <t>الاجمالي</t>
  </si>
  <si>
    <t>Sum of الاجمالي</t>
  </si>
  <si>
    <t>Sum of الكمية</t>
  </si>
  <si>
    <t xml:space="preserve"> </t>
  </si>
  <si>
    <t>\</t>
  </si>
  <si>
    <t>Count of الحالة</t>
  </si>
  <si>
    <t>نبيتى</t>
  </si>
  <si>
    <t>Count of اللون</t>
  </si>
  <si>
    <t>Count of طريقة الدفع</t>
  </si>
  <si>
    <t>Count of المسئول عن التسليم</t>
  </si>
  <si>
    <t>Average of الاجمالي</t>
  </si>
  <si>
    <t>Column1</t>
  </si>
  <si>
    <t>متأخر</t>
  </si>
  <si>
    <t>Count of Column1</t>
  </si>
  <si>
    <t xml:space="preserve">    </t>
  </si>
  <si>
    <t>Aug</t>
  </si>
  <si>
    <t>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</si>
</sst>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5" x14ac:knownFonts="1">
    <font>
      <sz val="11"/>
      <color theme="1"/>
      <name val="Calibri"/>
      <family val="2"/>
      <scheme val="minor"/>
    </font>
    <font>
      <sz val="11"/>
      <color theme="1"/>
      <name val="Calibri"/>
      <family val="2"/>
      <scheme val="minor"/>
    </font>
    <font>
      <sz val="11"/>
      <color theme="0"/>
      <name val="Calibri"/>
      <family val="2"/>
      <scheme val="minor"/>
    </font>
    <font>
      <sz val="11"/>
      <color rgb="FFFF0000"/>
      <name val="Calibri"/>
      <family val="2"/>
      <scheme val="minor"/>
    </font>
    <font>
      <b/>
      <sz val="22"/>
      <color theme="0"/>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rgb="FF1B2A49"/>
        <bgColor indexed="64"/>
      </patternFill>
    </fill>
    <fill>
      <patternFill patternType="solid">
        <fgColor rgb="FF002060"/>
        <bgColor indexed="64"/>
      </patternFill>
    </fill>
    <fill>
      <patternFill patternType="solid">
        <fgColor rgb="FF18254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 fillId="0" borderId="0" applyFont="0" applyFill="0" applyBorder="0" applyAlignment="0" applyProtection="0"/>
  </cellStyleXfs>
  <cellXfs count="2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2" fillId="2" borderId="0" xfId="1" applyNumberFormat="1" applyFont="1" applyFill="1"/>
    <xf numFmtId="0" fontId="0" fillId="0" borderId="0" xfId="0" quotePrefix="1"/>
    <xf numFmtId="10" fontId="0" fillId="0" borderId="0" xfId="0" applyNumberFormat="1"/>
    <xf numFmtId="0" fontId="0" fillId="4" borderId="0" xfId="0" applyFill="1"/>
    <xf numFmtId="164" fontId="0" fillId="0" borderId="0" xfId="1" applyNumberFormat="1" applyFont="1"/>
    <xf numFmtId="0" fontId="0" fillId="5" borderId="0" xfId="0" applyFill="1"/>
    <xf numFmtId="0" fontId="3" fillId="5"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4" fillId="3" borderId="0" xfId="0" applyFont="1" applyFill="1" applyAlignment="1">
      <alignment horizontal="center" vertical="center" wrapText="1"/>
    </xf>
  </cellXfs>
  <cellStyles count="2">
    <cellStyle name="Comma" xfId="1" builtinId="3"/>
    <cellStyle name="Normal" xfId="0" builtinId="0"/>
  </cellStyles>
  <dxfs count="59">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font>
    </dxf>
    <dxf>
      <font>
        <color theme="0"/>
      </font>
      <fill>
        <patternFill>
          <bgColor rgb="FF1B2A49"/>
        </patternFill>
      </fill>
    </dxf>
    <dxf>
      <fill>
        <patternFill>
          <bgColor rgb="FF1B2A49"/>
        </patternFill>
      </fill>
    </dxf>
    <dxf>
      <font>
        <color theme="0"/>
      </font>
      <fill>
        <patternFill>
          <bgColor rgb="FF1B2A49"/>
        </patternFill>
      </fill>
    </dxf>
    <dxf>
      <font>
        <b/>
        <i val="0"/>
        <sz val="72"/>
        <color theme="0"/>
      </font>
      <fill>
        <patternFill>
          <bgColor rgb="FF1B2A49"/>
        </patternFill>
      </fill>
    </dxf>
    <dxf>
      <font>
        <b/>
        <i val="0"/>
        <sz val="48"/>
        <color theme="0"/>
        <name val="Calibri Light"/>
        <family val="2"/>
        <scheme val="major"/>
      </font>
      <fill>
        <patternFill>
          <bgColor rgb="FF1B2A49"/>
        </patternFill>
      </fill>
    </dxf>
  </dxfs>
  <tableStyles count="4" defaultTableStyle="TableStyleMedium2" defaultPivotStyle="PivotStyleLight16">
    <tableStyle name="Invisible" pivot="0" table="0" count="0" xr9:uid="{AA73528B-8D85-432A-9172-AA70B5E8C669}"/>
    <tableStyle name="Slicer Style 1" pivot="0" table="0" count="4" xr9:uid="{37DECF62-410A-478F-A2C4-E2D08275880C}">
      <tableStyleElement type="wholeTable" dxfId="58"/>
      <tableStyleElement type="headerRow" dxfId="57"/>
    </tableStyle>
    <tableStyle name="Slicer Style 2" pivot="0" table="0" count="5" xr9:uid="{0B73EADD-E76B-49EE-8C24-7E1CF50BD274}">
      <tableStyleElement type="wholeTable" dxfId="56"/>
      <tableStyleElement type="headerRow" dxfId="55"/>
    </tableStyle>
    <tableStyle name="Slicer Style 3" pivot="0" table="0" count="8" xr9:uid="{7E00E9A8-AE9C-4EDF-834A-4E43C64759AC}">
      <tableStyleElement type="wholeTable" dxfId="54"/>
      <tableStyleElement type="headerRow" dxfId="53"/>
    </tableStyle>
  </tableStyles>
  <colors>
    <mruColors>
      <color rgb="FF1B2A49"/>
      <color rgb="FFC00000"/>
      <color rgb="FFB40003"/>
      <color rgb="FF182540"/>
    </mruColors>
  </colors>
  <extLst>
    <ext xmlns:x14="http://schemas.microsoft.com/office/spreadsheetml/2009/9/main" uri="{46F421CA-312F-682f-3DD2-61675219B42D}">
      <x14:dxfs count="11">
        <dxf>
          <fill>
            <patternFill>
              <bgColor rgb="FF1B2A49"/>
            </patternFill>
          </fill>
        </dxf>
        <dxf>
          <fill>
            <patternFill>
              <bgColor rgb="FF1B2A49"/>
            </patternFill>
          </fill>
        </dxf>
        <dxf>
          <fill>
            <patternFill>
              <bgColor rgb="FFC00000"/>
            </patternFill>
          </fill>
        </dxf>
        <dxf>
          <fill>
            <patternFill>
              <bgColor rgb="FF1B2A49"/>
            </patternFill>
          </fill>
        </dxf>
        <dxf>
          <fill>
            <patternFill>
              <bgColor rgb="FF1B2A49"/>
            </patternFill>
          </fill>
        </dxf>
        <dxf>
          <fill>
            <patternFill>
              <bgColor rgb="FF1B2A49"/>
            </patternFill>
          </fill>
        </dxf>
        <dxf>
          <fill>
            <patternFill>
              <bgColor rgb="FFC00000"/>
            </patternFill>
          </fill>
        </dxf>
        <dxf>
          <fill>
            <patternFill>
              <bgColor rgb="FF1B2A49"/>
            </patternFill>
          </fill>
        </dxf>
        <dxf>
          <fill>
            <patternFill>
              <bgColor rgb="FF1B2A49"/>
            </patternFill>
          </fill>
        </dxf>
        <dxf>
          <font>
            <sz val="72"/>
          </font>
          <fill>
            <patternFill>
              <bgColor rgb="FFC00000"/>
            </patternFill>
          </fill>
        </dxf>
        <dxf>
          <font>
            <sz val="72"/>
          </font>
          <fill>
            <patternFill>
              <bgColor rgb="FFC00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0"/>
            <x14:slicerStyleElement type="selectedItemWithNoData" dxfId="9"/>
          </x14:slicerStyleElements>
        </x14:slicerStyle>
        <x14:slicerStyle name="Slicer Style 2">
          <x14:slicerStyleElements>
            <x14:slicerStyleElement type="unselectedItemWithNoData" dxfId="8"/>
            <x14:slicerStyleElement type="selectedItemWithData" dxfId="7"/>
            <x14:slicerStyleElement type="hoveredUnselectedItemWithData" dxfId="6"/>
          </x14:slicerStyleElements>
        </x14:slicerStyle>
        <x14:slicerStyle name="Slicer Style 3">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.xlsx]pivot!PivotTable3</c:name>
    <c:fmtId val="4"/>
  </c:pivotSource>
  <c:chart>
    <c:title>
      <c:tx>
        <c:rich>
          <a:bodyPr rot="0" spcFirstLastPara="1" vertOverflow="ellipsis" vert="horz" wrap="square" anchor="ctr" anchorCtr="1"/>
          <a:lstStyle/>
          <a:p>
            <a:pPr algn="r" rtl="0">
              <a:defRPr lang="en-US" sz="13800" b="1" i="0" u="none" strike="noStrike" kern="1200" spc="0" baseline="0">
                <a:solidFill>
                  <a:srgbClr val="FF0000"/>
                </a:solidFill>
                <a:latin typeface="+mn-lt"/>
                <a:ea typeface="+mn-ea"/>
                <a:cs typeface="+mn-cs"/>
              </a:defRPr>
            </a:pPr>
            <a:r>
              <a:rPr lang="en-US" sz="13800" b="1" i="0" u="none" strike="noStrike" kern="1200" spc="0" baseline="0">
                <a:solidFill>
                  <a:srgbClr val="FF0000"/>
                </a:solidFill>
              </a:rPr>
              <a:t>Sales By Category</a:t>
            </a:r>
          </a:p>
        </c:rich>
      </c:tx>
      <c:layout>
        <c:manualLayout>
          <c:xMode val="edge"/>
          <c:yMode val="edge"/>
          <c:x val="0.26828693742887744"/>
          <c:y val="1.7190815398281415E-4"/>
        </c:manualLayout>
      </c:layout>
      <c:overlay val="0"/>
      <c:spPr>
        <a:noFill/>
        <a:ln>
          <a:noFill/>
        </a:ln>
        <a:effectLst/>
      </c:spPr>
      <c:txPr>
        <a:bodyPr rot="0" spcFirstLastPara="1" vertOverflow="ellipsis" vert="horz" wrap="square" anchor="ctr" anchorCtr="1"/>
        <a:lstStyle/>
        <a:p>
          <a:pPr algn="r" rtl="0">
            <a:defRPr lang="en-US" sz="13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solidFill>
              <a:srgbClr val="1B2A49"/>
            </a:solidFill>
            <a:ln>
              <a:noFill/>
            </a:ln>
            <a:effectLst/>
          </c:spPr>
          <c:txPr>
            <a:bodyPr rot="0" spcFirstLastPara="1" vertOverflow="ellipsis" vert="horz" wrap="square" lIns="38100" tIns="19050" rIns="38100" bIns="19050" anchor="ctr" anchorCtr="1">
              <a:spAutoFit/>
            </a:bodyPr>
            <a:lstStyle/>
            <a:p>
              <a:pPr>
                <a:defRPr sz="8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4725001159179"/>
          <c:y val="0.27535972572734307"/>
          <c:w val="0.70758841556930796"/>
          <c:h val="0.66364566715377948"/>
        </c:manualLayout>
      </c:layout>
      <c:barChart>
        <c:barDir val="bar"/>
        <c:grouping val="clustered"/>
        <c:varyColors val="0"/>
        <c:ser>
          <c:idx val="0"/>
          <c:order val="0"/>
          <c:tx>
            <c:strRef>
              <c:f>pivot!$P$2</c:f>
              <c:strCache>
                <c:ptCount val="1"/>
                <c:pt idx="0">
                  <c:v>Total</c:v>
                </c:pt>
              </c:strCache>
            </c:strRef>
          </c:tx>
          <c:spPr>
            <a:solidFill>
              <a:srgbClr val="C00000"/>
            </a:solidFill>
            <a:ln>
              <a:noFill/>
            </a:ln>
            <a:effectLst/>
          </c:spPr>
          <c:invertIfNegative val="0"/>
          <c:dLbls>
            <c:spPr>
              <a:solidFill>
                <a:srgbClr val="1B2A49"/>
              </a:solidFill>
              <a:ln>
                <a:noFill/>
              </a:ln>
              <a:effectLst/>
            </c:spPr>
            <c:txPr>
              <a:bodyPr rot="0" spcFirstLastPara="1" vertOverflow="ellipsis" vert="horz" wrap="square" lIns="38100" tIns="19050" rIns="38100" bIns="19050" anchor="ctr" anchorCtr="1">
                <a:spAutoFit/>
              </a:bodyPr>
              <a:lstStyle/>
              <a:p>
                <a:pPr>
                  <a:defRPr sz="8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pivot!$O$3:$O$4</c:f>
              <c:strCache>
                <c:ptCount val="1"/>
                <c:pt idx="0">
                  <c:v>كنبه</c:v>
                </c:pt>
              </c:strCache>
            </c:strRef>
          </c:cat>
          <c:val>
            <c:numRef>
              <c:f>pivot!$P$3:$P$4</c:f>
              <c:numCache>
                <c:formatCode>General</c:formatCode>
                <c:ptCount val="1"/>
                <c:pt idx="0">
                  <c:v>3</c:v>
                </c:pt>
              </c:numCache>
            </c:numRef>
          </c:val>
          <c:extLst>
            <c:ext xmlns:c16="http://schemas.microsoft.com/office/drawing/2014/chart" uri="{C3380CC4-5D6E-409C-BE32-E72D297353CC}">
              <c16:uniqueId val="{00000000-4089-4E0B-BF9E-12A05B259584}"/>
            </c:ext>
          </c:extLst>
        </c:ser>
        <c:dLbls>
          <c:showLegendKey val="0"/>
          <c:showVal val="0"/>
          <c:showCatName val="0"/>
          <c:showSerName val="0"/>
          <c:showPercent val="0"/>
          <c:showBubbleSize val="0"/>
        </c:dLbls>
        <c:gapWidth val="182"/>
        <c:axId val="955602784"/>
        <c:axId val="955604704"/>
      </c:barChart>
      <c:catAx>
        <c:axId val="955602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955604704"/>
        <c:crosses val="autoZero"/>
        <c:auto val="1"/>
        <c:lblAlgn val="ctr"/>
        <c:lblOffset val="100"/>
        <c:noMultiLvlLbl val="0"/>
      </c:catAx>
      <c:valAx>
        <c:axId val="955604704"/>
        <c:scaling>
          <c:orientation val="minMax"/>
        </c:scaling>
        <c:delete val="1"/>
        <c:axPos val="b"/>
        <c:numFmt formatCode="General" sourceLinked="1"/>
        <c:majorTickMark val="out"/>
        <c:minorTickMark val="none"/>
        <c:tickLblPos val="nextTo"/>
        <c:crossAx val="95560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.xlsx]pivot!PivotTable1</c:name>
    <c:fmtId val="2"/>
  </c:pivotSource>
  <c:chart>
    <c:title>
      <c:tx>
        <c:rich>
          <a:bodyPr rot="0" spcFirstLastPara="1" vertOverflow="ellipsis" vert="horz" wrap="square" anchor="ctr" anchorCtr="1"/>
          <a:lstStyle/>
          <a:p>
            <a:pPr lvl="1" algn="ctr" rtl="0">
              <a:defRPr lang="en-US" sz="13800" b="1" i="0" u="none" strike="noStrike" kern="1200" spc="0" baseline="0">
                <a:solidFill>
                  <a:srgbClr val="FF0000"/>
                </a:solidFill>
                <a:latin typeface="+mn-lt"/>
                <a:ea typeface="+mn-ea"/>
                <a:cs typeface="+mn-cs"/>
              </a:defRPr>
            </a:pPr>
            <a:r>
              <a:rPr lang="en-US" sz="16600" b="1" i="0" u="none" strike="noStrike" kern="1200" spc="0" baseline="0">
                <a:solidFill>
                  <a:srgbClr val="FF0000"/>
                </a:solidFill>
                <a:latin typeface="+mn-lt"/>
                <a:ea typeface="+mn-ea"/>
                <a:cs typeface="+mn-cs"/>
              </a:rPr>
              <a:t>Sales By Platform</a:t>
            </a:r>
          </a:p>
        </c:rich>
      </c:tx>
      <c:layout>
        <c:manualLayout>
          <c:xMode val="edge"/>
          <c:yMode val="edge"/>
          <c:x val="0.29960773497508897"/>
          <c:y val="5.5284757223779469E-5"/>
        </c:manualLayout>
      </c:layout>
      <c:overlay val="0"/>
      <c:spPr>
        <a:noFill/>
        <a:ln>
          <a:noFill/>
        </a:ln>
        <a:effectLst/>
      </c:spPr>
      <c:txPr>
        <a:bodyPr rot="0" spcFirstLastPara="1" vertOverflow="ellipsis" vert="horz" wrap="square" anchor="ctr" anchorCtr="1"/>
        <a:lstStyle/>
        <a:p>
          <a:pPr lvl="1" algn="ctr" rtl="0">
            <a:defRPr lang="en-US" sz="13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18945941943039"/>
          <c:y val="8.9721724153683374E-2"/>
          <c:w val="0.70882943860074921"/>
          <c:h val="0.9102782758463166"/>
        </c:manualLayout>
      </c:layout>
      <c:barChart>
        <c:barDir val="bar"/>
        <c:grouping val="clustered"/>
        <c:varyColors val="0"/>
        <c:ser>
          <c:idx val="0"/>
          <c:order val="0"/>
          <c:tx>
            <c:strRef>
              <c:f>pivot!$B$1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1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pivot!$A$2:$A$3</c:f>
              <c:strCache>
                <c:ptCount val="1"/>
                <c:pt idx="0">
                  <c:v>تاكى</c:v>
                </c:pt>
              </c:strCache>
            </c:strRef>
          </c:cat>
          <c:val>
            <c:numRef>
              <c:f>pivot!$B$2:$B$3</c:f>
              <c:numCache>
                <c:formatCode>General</c:formatCode>
                <c:ptCount val="1"/>
                <c:pt idx="0">
                  <c:v>3</c:v>
                </c:pt>
              </c:numCache>
            </c:numRef>
          </c:val>
          <c:extLst>
            <c:ext xmlns:c16="http://schemas.microsoft.com/office/drawing/2014/chart" uri="{C3380CC4-5D6E-409C-BE32-E72D297353CC}">
              <c16:uniqueId val="{00000000-82A0-4156-B81A-80D4EE8FA131}"/>
            </c:ext>
          </c:extLst>
        </c:ser>
        <c:dLbls>
          <c:dLblPos val="outEnd"/>
          <c:showLegendKey val="0"/>
          <c:showVal val="1"/>
          <c:showCatName val="0"/>
          <c:showSerName val="0"/>
          <c:showPercent val="0"/>
          <c:showBubbleSize val="0"/>
        </c:dLbls>
        <c:gapWidth val="182"/>
        <c:axId val="757145920"/>
        <c:axId val="757146400"/>
      </c:barChart>
      <c:catAx>
        <c:axId val="757145920"/>
        <c:scaling>
          <c:orientation val="minMax"/>
        </c:scaling>
        <c:delete val="0"/>
        <c:axPos val="l"/>
        <c:numFmt formatCode="General" sourceLinked="1"/>
        <c:majorTickMark val="none"/>
        <c:minorTickMark val="none"/>
        <c:tickLblPos val="nextTo"/>
        <c:spPr>
          <a:solidFill>
            <a:srgbClr val="1B2A49"/>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200" b="1" i="0" u="none" strike="noStrike" kern="1200" baseline="0">
                <a:solidFill>
                  <a:schemeClr val="bg1"/>
                </a:solidFill>
                <a:latin typeface="+mn-lt"/>
                <a:ea typeface="+mn-ea"/>
                <a:cs typeface="+mn-cs"/>
              </a:defRPr>
            </a:pPr>
            <a:endParaRPr lang="en-US"/>
          </a:p>
        </c:txPr>
        <c:crossAx val="757146400"/>
        <c:crosses val="autoZero"/>
        <c:auto val="1"/>
        <c:lblAlgn val="ctr"/>
        <c:lblOffset val="100"/>
        <c:noMultiLvlLbl val="0"/>
      </c:catAx>
      <c:valAx>
        <c:axId val="757146400"/>
        <c:scaling>
          <c:orientation val="minMax"/>
        </c:scaling>
        <c:delete val="1"/>
        <c:axPos val="b"/>
        <c:numFmt formatCode="General" sourceLinked="1"/>
        <c:majorTickMark val="none"/>
        <c:minorTickMark val="none"/>
        <c:tickLblPos val="nextTo"/>
        <c:crossAx val="75714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[misuo project final .xlsx]pivot!PivotTable6</c:name>
    <c:fmtId val="3"/>
  </c:pivotSource>
  <c:chart>
    <c:title>
      <c:tx>
        <c:rich>
          <a:bodyPr rot="0" spcFirstLastPara="1" vertOverflow="ellipsis" vert="horz" wrap="square" anchor="ctr" anchorCtr="1"/>
          <a:lstStyle/>
          <a:p>
            <a:pPr lvl="1" algn="ctr" rtl="0">
              <a:defRPr lang="ar-EG" sz="4400" b="1" i="0" u="none" strike="noStrike" kern="1200" spc="0" baseline="0">
                <a:solidFill>
                  <a:srgbClr val="FF0000"/>
                </a:solidFill>
                <a:latin typeface="+mn-lt"/>
                <a:ea typeface="+mn-ea"/>
                <a:cs typeface="+mn-cs"/>
              </a:defRPr>
            </a:pPr>
            <a:r>
              <a:rPr lang="ar-EG" sz="4400" b="1" i="0" u="none" strike="noStrike" kern="1200" spc="0" baseline="0">
                <a:solidFill>
                  <a:srgbClr val="FF0000"/>
                </a:solidFill>
                <a:latin typeface="+mn-lt"/>
                <a:ea typeface="+mn-ea"/>
                <a:cs typeface="+mn-cs"/>
              </a:rPr>
              <a:t> </a:t>
            </a:r>
            <a:r>
              <a:rPr lang="ar-EG" sz="13800" b="1" i="0" u="none" strike="noStrike" kern="1200" spc="0" baseline="0">
                <a:solidFill>
                  <a:srgbClr val="FF0000"/>
                </a:solidFill>
                <a:latin typeface="+mn-lt"/>
                <a:ea typeface="+mn-ea"/>
                <a:cs typeface="+mn-cs"/>
              </a:rPr>
              <a:t>Delivery Status</a:t>
            </a:r>
            <a:endParaRPr lang="ar-EG" sz="7200" b="1" i="0" u="none" strike="noStrike" kern="1200" spc="0" baseline="0">
              <a:solidFill>
                <a:srgbClr val="FF0000"/>
              </a:solidFill>
              <a:latin typeface="+mn-lt"/>
              <a:ea typeface="+mn-ea"/>
              <a:cs typeface="+mn-cs"/>
            </a:endParaRPr>
          </a:p>
        </c:rich>
      </c:tx>
      <c:layout>
        <c:manualLayout>
          <c:xMode val="edge"/>
          <c:yMode val="edge"/>
          <c:x val="0.26350642664843743"/>
          <c:y val="1.1201216986799207E-3"/>
        </c:manualLayout>
      </c:layout>
      <c:overlay val="0"/>
      <c:spPr>
        <a:noFill/>
        <a:ln>
          <a:noFill/>
        </a:ln>
        <a:effectLst/>
      </c:spPr>
      <c:txPr>
        <a:bodyPr rot="0" spcFirstLastPara="1" vertOverflow="ellipsis" vert="horz" wrap="square" anchor="ctr" anchorCtr="1"/>
        <a:lstStyle/>
        <a:p>
          <a:pPr lvl="1" algn="ctr" rtl="0">
            <a:defRPr lang="ar-EG" sz="4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4.2847056684625975E-2"/>
              <c:y val="-6.09515704992012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4.2847056684625975E-2"/>
              <c:y val="-6.09515704992012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54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hade val="65000"/>
            </a:schemeClr>
          </a:solidFill>
          <a:ln w="19050">
            <a:solidFill>
              <a:schemeClr val="lt1"/>
            </a:solidFill>
          </a:ln>
          <a:effectLst/>
        </c:spPr>
        <c:dLbl>
          <c:idx val="0"/>
          <c:layout>
            <c:manualLayout>
              <c:x val="0.30891490863170395"/>
              <c:y val="-1.2272338240328655E-2"/>
            </c:manualLayout>
          </c:layout>
          <c:tx>
            <c:rich>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fld id="{463615CD-3642-418A-AA7F-9DC3C98C8973}" type="CATEGORYNAME">
                  <a:rPr lang="ar-EG" sz="8800" b="1" i="0" u="none" strike="noStrike" kern="1200" baseline="0">
                    <a:solidFill>
                      <a:schemeClr val="bg1"/>
                    </a:solidFill>
                    <a:latin typeface="+mn-lt"/>
                    <a:ea typeface="+mn-ea"/>
                    <a:cs typeface="+mn-cs"/>
                  </a:rPr>
                  <a:pPr algn="ctr">
                    <a:defRPr lang="en-US" sz="8800" b="1">
                      <a:solidFill>
                        <a:schemeClr val="bg1"/>
                      </a:solidFill>
                    </a:defRPr>
                  </a:pPr>
                  <a:t>[CATEGORY NAME]</a:t>
                </a:fld>
                <a:r>
                  <a:rPr lang="ar-EG" sz="8800" b="1" i="0" u="none" strike="noStrike" kern="1200" baseline="0">
                    <a:solidFill>
                      <a:schemeClr val="bg1"/>
                    </a:solidFill>
                    <a:latin typeface="+mn-lt"/>
                    <a:ea typeface="+mn-ea"/>
                    <a:cs typeface="+mn-cs"/>
                  </a:rPr>
                  <a:t>
</a:t>
                </a:r>
                <a:fld id="{46D55359-00F9-4784-AF78-2E576CA3FE72}" type="PERCENTAGE">
                  <a:rPr lang="ar-EG" sz="8800" b="1" i="0" u="none" strike="noStrike" kern="1200" baseline="0">
                    <a:solidFill>
                      <a:schemeClr val="bg1"/>
                    </a:solidFill>
                    <a:latin typeface="+mn-lt"/>
                    <a:ea typeface="+mn-ea"/>
                    <a:cs typeface="+mn-cs"/>
                  </a:rPr>
                  <a:pPr algn="ctr">
                    <a:defRPr lang="en-US" sz="8800" b="1">
                      <a:solidFill>
                        <a:schemeClr val="bg1"/>
                      </a:solidFill>
                    </a:defRPr>
                  </a:pPr>
                  <a:t>[PERCENTAGE]</a:t>
                </a:fld>
                <a:endParaRPr lang="ar-EG" sz="8800" b="1" i="0" u="none" strike="noStrike" kern="1200" baseline="0">
                  <a:solidFill>
                    <a:schemeClr val="bg1"/>
                  </a:solidFill>
                  <a:latin typeface="+mn-lt"/>
                  <a:ea typeface="+mn-ea"/>
                  <a:cs typeface="+mn-cs"/>
                </a:endParaRPr>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60655702536782"/>
                  <c:h val="0.48385880298422501"/>
                </c:manualLayout>
              </c15:layout>
              <c15:dlblFieldTable/>
              <c15:showDataLabelsRange val="0"/>
            </c:ext>
          </c:extLst>
        </c:dLbl>
      </c:pivotFmt>
      <c:pivotFmt>
        <c:idx val="8"/>
        <c:spPr>
          <a:solidFill>
            <a:schemeClr val="accent5"/>
          </a:solidFill>
          <a:ln w="19050">
            <a:solidFill>
              <a:schemeClr val="lt1"/>
            </a:solidFill>
          </a:ln>
          <a:effectLst/>
        </c:spPr>
        <c:dLbl>
          <c:idx val="0"/>
          <c:layout>
            <c:manualLayout>
              <c:x val="-0.19723365065701193"/>
              <c:y val="0.24719554866519511"/>
            </c:manualLayout>
          </c:layout>
          <c:tx>
            <c:rich>
              <a:bodyPr rot="0" spcFirstLastPara="1" vertOverflow="clip" horzOverflow="clip"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fld id="{EA33B03E-B5C3-4F74-B81F-1BE3CCD371CE}" type="CATEGORYNAME">
                  <a:rPr lang="ar-EG" sz="9600"/>
                  <a:pPr algn="ctr">
                    <a:defRPr lang="en-US" sz="9600" b="1">
                      <a:solidFill>
                        <a:schemeClr val="bg1"/>
                      </a:solidFill>
                    </a:defRPr>
                  </a:pPr>
                  <a:t>[CATEGORY NAME]</a:t>
                </a:fld>
                <a:r>
                  <a:rPr lang="ar-EG" sz="9600" baseline="0"/>
                  <a:t>
</a:t>
                </a:r>
                <a:fld id="{AA9A350A-FD31-4948-92FE-88BBD5CB1E48}" type="PERCENTAGE">
                  <a:rPr lang="ar-EG" sz="9600" baseline="0"/>
                  <a:pPr algn="ctr">
                    <a:defRPr lang="en-US" sz="9600" b="1">
                      <a:solidFill>
                        <a:schemeClr val="bg1"/>
                      </a:solidFill>
                    </a:defRPr>
                  </a:pPr>
                  <a:t>[PERCENTAGE]</a:t>
                </a:fld>
                <a:endParaRPr lang="ar-EG" sz="9600"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6567943072162"/>
                  <c:h val="0.64775451330090184"/>
                </c:manualLayout>
              </c15:layout>
              <c15:dlblFieldTable/>
              <c15:showDataLabelsRange val="0"/>
            </c:ext>
          </c:extLst>
        </c:dLbl>
      </c:pivotFmt>
      <c:pivotFmt>
        <c:idx val="9"/>
        <c:spPr>
          <a:solidFill>
            <a:schemeClr val="accent5">
              <a:tint val="65000"/>
            </a:schemeClr>
          </a:solidFill>
          <a:ln w="19050">
            <a:solidFill>
              <a:schemeClr val="lt1"/>
            </a:solidFill>
          </a:ln>
          <a:effectLst/>
        </c:spPr>
        <c:dLbl>
          <c:idx val="0"/>
          <c:layout>
            <c:manualLayout>
              <c:x val="0.54404572263825768"/>
              <c:y val="6.2804759985997369E-2"/>
            </c:manualLayout>
          </c:layout>
          <c:tx>
            <c:rich>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fld id="{2C77BB7D-A3F9-45E5-B429-4414722C37E1}" type="CATEGORYNAME">
                  <a:rPr lang="ar-EG" sz="8800"/>
                  <a:pPr algn="ctr">
                    <a:defRPr lang="en-US" sz="8800" b="1">
                      <a:solidFill>
                        <a:schemeClr val="bg1"/>
                      </a:solidFill>
                    </a:defRPr>
                  </a:pPr>
                  <a:t>[CATEGORY NAME]</a:t>
                </a:fld>
                <a:r>
                  <a:rPr lang="ar-EG" sz="8800" baseline="0"/>
                  <a:t>
</a:t>
                </a:r>
                <a:fld id="{C3116EC1-A152-4708-8385-C8DE9587E6F0}" type="PERCENTAGE">
                  <a:rPr lang="ar-EG" sz="8800" baseline="0"/>
                  <a:pPr algn="ctr">
                    <a:defRPr lang="en-US" sz="8800" b="1">
                      <a:solidFill>
                        <a:schemeClr val="bg1"/>
                      </a:solidFill>
                    </a:defRPr>
                  </a:pPr>
                  <a:t>[PERCENTAGE]</a:t>
                </a:fld>
                <a:endParaRPr lang="ar-EG" sz="8800"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326554911531893"/>
                  <c:h val="0.34541195469721536"/>
                </c:manualLayout>
              </c15:layout>
              <c15:dlblFieldTable/>
              <c15:showDataLabelsRange val="0"/>
            </c:ext>
          </c:extLst>
        </c:dLbl>
      </c:pivotFmt>
    </c:pivotFmts>
    <c:plotArea>
      <c:layout>
        <c:manualLayout>
          <c:layoutTarget val="inner"/>
          <c:xMode val="edge"/>
          <c:yMode val="edge"/>
          <c:x val="0.2478276405504137"/>
          <c:y val="0.27895526501117607"/>
          <c:w val="0.46361651764079587"/>
          <c:h val="0.71931511987507268"/>
        </c:manualLayout>
      </c:layout>
      <c:pieChart>
        <c:varyColors val="1"/>
        <c:ser>
          <c:idx val="0"/>
          <c:order val="0"/>
          <c:tx>
            <c:strRef>
              <c:f>pivot!$Y$3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8BE3-45EE-B542-1C194616359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BE3-45EE-B542-1C194616359E}"/>
              </c:ext>
            </c:extLst>
          </c:dPt>
          <c:dPt>
            <c:idx val="2"/>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05-8BE3-45EE-B542-1C194616359E}"/>
              </c:ext>
            </c:extLst>
          </c:dPt>
          <c:dLbls>
            <c:dLbl>
              <c:idx val="0"/>
              <c:layout>
                <c:manualLayout>
                  <c:x val="0.30891490863170395"/>
                  <c:y val="-1.2272338240328655E-2"/>
                </c:manualLayout>
              </c:layout>
              <c:tx>
                <c:rich>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fld id="{463615CD-3642-418A-AA7F-9DC3C98C8973}" type="CATEGORYNAME">
                      <a:rPr lang="ar-EG" sz="8800" b="1" i="0" u="none" strike="noStrike" kern="1200" baseline="0">
                        <a:solidFill>
                          <a:schemeClr val="bg1"/>
                        </a:solidFill>
                        <a:latin typeface="+mn-lt"/>
                        <a:ea typeface="+mn-ea"/>
                        <a:cs typeface="+mn-cs"/>
                      </a:rPr>
                      <a:pPr algn="ctr">
                        <a:defRPr lang="en-US" sz="8800" b="1">
                          <a:solidFill>
                            <a:schemeClr val="bg1"/>
                          </a:solidFill>
                        </a:defRPr>
                      </a:pPr>
                      <a:t>[CATEGORY NAME]</a:t>
                    </a:fld>
                    <a:r>
                      <a:rPr lang="ar-EG" sz="8800" b="1" i="0" u="none" strike="noStrike" kern="1200" baseline="0">
                        <a:solidFill>
                          <a:schemeClr val="bg1"/>
                        </a:solidFill>
                        <a:latin typeface="+mn-lt"/>
                        <a:ea typeface="+mn-ea"/>
                        <a:cs typeface="+mn-cs"/>
                      </a:rPr>
                      <a:t>
</a:t>
                    </a:r>
                    <a:fld id="{46D55359-00F9-4784-AF78-2E576CA3FE72}" type="PERCENTAGE">
                      <a:rPr lang="ar-EG" sz="8800" b="1" i="0" u="none" strike="noStrike" kern="1200" baseline="0">
                        <a:solidFill>
                          <a:schemeClr val="bg1"/>
                        </a:solidFill>
                        <a:latin typeface="+mn-lt"/>
                        <a:ea typeface="+mn-ea"/>
                        <a:cs typeface="+mn-cs"/>
                      </a:rPr>
                      <a:pPr algn="ctr">
                        <a:defRPr lang="en-US" sz="8800" b="1">
                          <a:solidFill>
                            <a:schemeClr val="bg1"/>
                          </a:solidFill>
                        </a:defRPr>
                      </a:pPr>
                      <a:t>[PERCENTAGE]</a:t>
                    </a:fld>
                    <a:endParaRPr lang="ar-EG" sz="8800" b="1" i="0" u="none" strike="noStrike" kern="1200" baseline="0">
                      <a:solidFill>
                        <a:schemeClr val="bg1"/>
                      </a:solidFill>
                      <a:latin typeface="+mn-lt"/>
                      <a:ea typeface="+mn-ea"/>
                      <a:cs typeface="+mn-cs"/>
                    </a:endParaRPr>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8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60655702536782"/>
                      <c:h val="0.48385880298422501"/>
                    </c:manualLayout>
                  </c15:layout>
                  <c15:dlblFieldTable/>
                  <c15:showDataLabelsRange val="0"/>
                </c:ext>
                <c:ext xmlns:c16="http://schemas.microsoft.com/office/drawing/2014/chart" uri="{C3380CC4-5D6E-409C-BE32-E72D297353CC}">
                  <c16:uniqueId val="{00000001-8BE3-45EE-B542-1C194616359E}"/>
                </c:ext>
              </c:extLst>
            </c:dLbl>
            <c:dLbl>
              <c:idx val="1"/>
              <c:layout>
                <c:manualLayout>
                  <c:x val="-0.19723365065701193"/>
                  <c:y val="0.24719554866519511"/>
                </c:manualLayout>
              </c:layout>
              <c:tx>
                <c:rich>
                  <a:bodyPr rot="0" spcFirstLastPara="1" vertOverflow="clip" horzOverflow="clip"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fld id="{EA33B03E-B5C3-4F74-B81F-1BE3CCD371CE}" type="CATEGORYNAME">
                      <a:rPr lang="ar-EG" sz="9600"/>
                      <a:pPr algn="ctr">
                        <a:defRPr lang="en-US" sz="9600" b="1">
                          <a:solidFill>
                            <a:schemeClr val="bg1"/>
                          </a:solidFill>
                        </a:defRPr>
                      </a:pPr>
                      <a:t>[CATEGORY NAME]</a:t>
                    </a:fld>
                    <a:r>
                      <a:rPr lang="ar-EG" sz="9600" baseline="0"/>
                      <a:t>
</a:t>
                    </a:r>
                    <a:fld id="{AA9A350A-FD31-4948-92FE-88BBD5CB1E48}" type="PERCENTAGE">
                      <a:rPr lang="ar-EG" sz="9600" baseline="0"/>
                      <a:pPr algn="ctr">
                        <a:defRPr lang="en-US" sz="9600" b="1">
                          <a:solidFill>
                            <a:schemeClr val="bg1"/>
                          </a:solidFill>
                        </a:defRPr>
                      </a:pPr>
                      <a:t>[PERCENTAGE]</a:t>
                    </a:fld>
                    <a:endParaRPr lang="ar-EG" sz="9600"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6567943072162"/>
                      <c:h val="0.64775451330090184"/>
                    </c:manualLayout>
                  </c15:layout>
                  <c15:dlblFieldTable/>
                  <c15:showDataLabelsRange val="0"/>
                </c:ext>
                <c:ext xmlns:c16="http://schemas.microsoft.com/office/drawing/2014/chart" uri="{C3380CC4-5D6E-409C-BE32-E72D297353CC}">
                  <c16:uniqueId val="{00000003-8BE3-45EE-B542-1C194616359E}"/>
                </c:ext>
              </c:extLst>
            </c:dLbl>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54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pivot!$X$4:$X$6</c:f>
              <c:strCache>
                <c:ptCount val="2"/>
                <c:pt idx="0">
                  <c:v>تم التسليم</c:v>
                </c:pt>
                <c:pt idx="1">
                  <c:v>فشل التسليم</c:v>
                </c:pt>
              </c:strCache>
            </c:strRef>
          </c:cat>
          <c:val>
            <c:numRef>
              <c:f>pivot!$Y$4:$Y$6</c:f>
              <c:numCache>
                <c:formatCode>0.00%</c:formatCode>
                <c:ptCount val="2"/>
                <c:pt idx="0">
                  <c:v>0.66666666666666663</c:v>
                </c:pt>
                <c:pt idx="1">
                  <c:v>0.33333333333333331</c:v>
                </c:pt>
              </c:numCache>
            </c:numRef>
          </c:val>
          <c:extLst>
            <c:ext xmlns:c16="http://schemas.microsoft.com/office/drawing/2014/chart" uri="{C3380CC4-5D6E-409C-BE32-E72D297353CC}">
              <c16:uniqueId val="{00000006-8BE3-45EE-B542-1C194616359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[misuo project final .xlsx]pivot!PivotTable7</c:name>
    <c:fmtId val="3"/>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tint val="58000"/>
            </a:schemeClr>
          </a:solidFill>
          <a:ln w="19050">
            <a:solidFill>
              <a:schemeClr val="lt1"/>
            </a:solidFill>
          </a:ln>
          <a:effectLst/>
        </c:spPr>
        <c:dLbl>
          <c:idx val="0"/>
          <c:layout>
            <c:manualLayout>
              <c:x val="0.18624097487199323"/>
              <c:y val="0"/>
            </c:manualLayout>
          </c:layout>
          <c:tx>
            <c:rich>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fld id="{D60EA388-244C-4784-8FBE-DA9AADC93669}" type="CATEGORYNAME">
                  <a:rPr lang="en-US"/>
                  <a:pPr>
                    <a:defRPr sz="8000">
                      <a:solidFill>
                        <a:schemeClr val="bg1"/>
                      </a:solidFill>
                    </a:defRPr>
                  </a:pPr>
                  <a:t>[CATEGORY NAME]</a:t>
                </a:fld>
                <a:r>
                  <a:rPr lang="en-US" baseline="0"/>
                  <a:t>
</a:t>
                </a:r>
                <a:fld id="{A90F2963-74C6-42B1-9425-1582D147499E}" type="PERCENTAGE">
                  <a:rPr lang="en-US" baseline="0">
                    <a:solidFill>
                      <a:srgbClr val="1B2A49"/>
                    </a:solidFill>
                  </a:rPr>
                  <a:pPr>
                    <a:defRPr sz="8000">
                      <a:solidFill>
                        <a:schemeClr val="bg1"/>
                      </a:solidFill>
                    </a:defRPr>
                  </a:pPr>
                  <a:t>[PERCENTAGE]</a:t>
                </a:fld>
                <a:endParaRPr lang="en-US" baseline="0"/>
              </a:p>
            </c:rich>
          </c:tx>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5">
              <a:tint val="86000"/>
            </a:schemeClr>
          </a:solidFill>
          <a:ln w="19050">
            <a:solidFill>
              <a:schemeClr val="lt1"/>
            </a:solidFill>
          </a:ln>
          <a:effectLst/>
        </c:spPr>
        <c:dLbl>
          <c:idx val="0"/>
          <c:layout>
            <c:manualLayout>
              <c:x val="0.15564424328588011"/>
              <c:y val="7.0732643842099693E-2"/>
            </c:manualLayout>
          </c:layout>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tint val="86000"/>
            </a:schemeClr>
          </a:solidFill>
          <a:ln w="19050">
            <a:solidFill>
              <a:schemeClr val="lt1"/>
            </a:solidFill>
          </a:ln>
          <a:effectLst/>
        </c:spPr>
        <c:dLbl>
          <c:idx val="0"/>
          <c:layout>
            <c:manualLayout>
              <c:x val="5.8532877816912202E-2"/>
              <c:y val="0.50987385177371092"/>
            </c:manualLayout>
          </c:layout>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olidFill>
          <a:ln w="19050">
            <a:solidFill>
              <a:schemeClr val="lt1"/>
            </a:solidFill>
          </a:ln>
          <a:effectLst/>
        </c:spPr>
      </c:pivotFmt>
      <c:pivotFmt>
        <c:idx val="11"/>
        <c:dLbl>
          <c:idx val="0"/>
          <c:layout>
            <c:manualLayout>
              <c:x val="-0.18180666594646971"/>
              <c:y val="0"/>
            </c:manualLayout>
          </c:layout>
          <c:tx>
            <c:rich>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fld id="{45FC3938-A8C0-46DA-871D-04AFAD7EE845}" type="CATEGORYNAME">
                  <a:rPr lang="en-US">
                    <a:solidFill>
                      <a:srgbClr val="1B2A49"/>
                    </a:solidFill>
                  </a:rPr>
                  <a:pPr>
                    <a:defRPr sz="8000">
                      <a:solidFill>
                        <a:schemeClr val="bg1"/>
                      </a:solidFill>
                    </a:defRPr>
                  </a:pPr>
                  <a:t>[CATEGORY NAME]</a:t>
                </a:fld>
                <a:r>
                  <a:rPr lang="en-US" baseline="0">
                    <a:solidFill>
                      <a:srgbClr val="1B2A49"/>
                    </a:solidFill>
                  </a:rPr>
                  <a:t>
</a:t>
                </a:r>
                <a:fld id="{AF5081B4-F531-4274-88BC-5DCCA806268C}" type="PERCENTAGE">
                  <a:rPr lang="en-US" baseline="0">
                    <a:solidFill>
                      <a:srgbClr val="1B2A49"/>
                    </a:solidFill>
                  </a:rPr>
                  <a:pPr>
                    <a:defRPr sz="8000">
                      <a:solidFill>
                        <a:schemeClr val="bg1"/>
                      </a:solidFill>
                    </a:defRPr>
                  </a:pPr>
                  <a:t>[PERCENTAGE]</a:t>
                </a:fld>
                <a:endParaRPr lang="en-US" baseline="0">
                  <a:solidFill>
                    <a:srgbClr val="1B2A49"/>
                  </a:solidFill>
                </a:endParaRPr>
              </a:p>
            </c:rich>
          </c:tx>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4307866785242376"/>
          <c:y val="9.5737215027189751E-2"/>
          <c:w val="0.55185493454680745"/>
          <c:h val="0.81875242082444522"/>
        </c:manualLayout>
      </c:layout>
      <c:pieChart>
        <c:varyColors val="1"/>
        <c:ser>
          <c:idx val="0"/>
          <c:order val="0"/>
          <c:tx>
            <c:strRef>
              <c:f>pivot!$AF$4</c:f>
              <c:strCache>
                <c:ptCount val="1"/>
                <c:pt idx="0">
                  <c:v>Total</c:v>
                </c:pt>
              </c:strCache>
            </c:strRef>
          </c:tx>
          <c:dPt>
            <c:idx val="0"/>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1-235D-4A4B-9A76-68F7A586D78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35D-4A4B-9A76-68F7A586D78A}"/>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235D-4A4B-9A76-68F7A586D78A}"/>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235D-4A4B-9A76-68F7A586D78A}"/>
              </c:ext>
            </c:extLst>
          </c:dPt>
          <c:dLbls>
            <c:dLbl>
              <c:idx val="0"/>
              <c:layout>
                <c:manualLayout>
                  <c:x val="5.8532877816912202E-2"/>
                  <c:y val="0.5098738517737109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35D-4A4B-9A76-68F7A586D78A}"/>
                </c:ext>
              </c:extLst>
            </c:dLbl>
            <c:spPr>
              <a:solidFill>
                <a:srgbClr val="1B2A49"/>
              </a:solidFill>
              <a:ln>
                <a:noFill/>
              </a:ln>
              <a:effectLst/>
            </c:spPr>
            <c:txPr>
              <a:bodyPr rot="0" spcFirstLastPara="1" vertOverflow="clip" horzOverflow="clip"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pivot!$AE$5:$AE$6</c:f>
              <c:strCache>
                <c:ptCount val="1"/>
                <c:pt idx="0">
                  <c:v>كاش</c:v>
                </c:pt>
              </c:strCache>
            </c:strRef>
          </c:cat>
          <c:val>
            <c:numRef>
              <c:f>pivot!$AF$5:$AF$6</c:f>
              <c:numCache>
                <c:formatCode>0.00%</c:formatCode>
                <c:ptCount val="1"/>
                <c:pt idx="0">
                  <c:v>1</c:v>
                </c:pt>
              </c:numCache>
            </c:numRef>
          </c:val>
          <c:extLst>
            <c:ext xmlns:c16="http://schemas.microsoft.com/office/drawing/2014/chart" uri="{C3380CC4-5D6E-409C-BE32-E72D297353CC}">
              <c16:uniqueId val="{00000008-235D-4A4B-9A76-68F7A586D78A}"/>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10806578037404"/>
          <c:y val="0.11102905630850141"/>
          <c:w val="0.5874446509157164"/>
          <c:h val="0.81047678383708743"/>
        </c:manualLayout>
      </c:layout>
      <c:barChart>
        <c:barDir val="bar"/>
        <c:grouping val="clustered"/>
        <c:varyColors val="0"/>
        <c:ser>
          <c:idx val="0"/>
          <c:order val="0"/>
          <c:tx>
            <c:strRef>
              <c:f>pivot!$AT$3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pivot!$AS$4:$AS$6</c:f>
              <c:strCache>
                <c:ptCount val="2"/>
                <c:pt idx="0">
                  <c:v>(blank)</c:v>
                </c:pt>
                <c:pt idx="1">
                  <c:v>تم التسليم محمود على </c:v>
                </c:pt>
              </c:strCache>
            </c:strRef>
          </c:cat>
          <c:val>
            <c:numRef>
              <c:f>pivot!$AT$4:$AT$6</c:f>
              <c:numCache>
                <c:formatCode>General</c:formatCode>
                <c:ptCount val="2"/>
                <c:pt idx="1">
                  <c:v>2</c:v>
                </c:pt>
              </c:numCache>
            </c:numRef>
          </c:val>
          <c:extLst>
            <c:ext xmlns:c16="http://schemas.microsoft.com/office/drawing/2014/chart" uri="{C3380CC4-5D6E-409C-BE32-E72D297353CC}">
              <c16:uniqueId val="{00000000-B95B-416A-B4C6-706EC3FF9689}"/>
            </c:ext>
          </c:extLst>
        </c:ser>
        <c:dLbls>
          <c:showLegendKey val="0"/>
          <c:showVal val="0"/>
          <c:showCatName val="0"/>
          <c:showSerName val="0"/>
          <c:showPercent val="0"/>
          <c:showBubbleSize val="0"/>
        </c:dLbls>
        <c:gapWidth val="182"/>
        <c:axId val="268195263"/>
        <c:axId val="268178943"/>
      </c:barChart>
      <c:catAx>
        <c:axId val="26819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6600" b="1" i="0" u="none" strike="noStrike" kern="1200" baseline="0">
                <a:solidFill>
                  <a:schemeClr val="bg1"/>
                </a:solidFill>
                <a:latin typeface="+mn-lt"/>
                <a:ea typeface="+mn-ea"/>
                <a:cs typeface="+mn-cs"/>
              </a:defRPr>
            </a:pPr>
            <a:endParaRPr lang="en-US"/>
          </a:p>
        </c:txPr>
        <c:crossAx val="268178943"/>
        <c:crosses val="autoZero"/>
        <c:auto val="1"/>
        <c:lblAlgn val="ctr"/>
        <c:lblOffset val="100"/>
        <c:noMultiLvlLbl val="0"/>
      </c:catAx>
      <c:valAx>
        <c:axId val="268178943"/>
        <c:scaling>
          <c:orientation val="minMax"/>
        </c:scaling>
        <c:delete val="1"/>
        <c:axPos val="b"/>
        <c:numFmt formatCode="General" sourceLinked="1"/>
        <c:majorTickMark val="none"/>
        <c:minorTickMark val="none"/>
        <c:tickLblPos val="nextTo"/>
        <c:crossAx val="26819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[misuo project final .xlsx]pivot!PivotTable13</c:name>
    <c:fmtId val="4"/>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hade val="65000"/>
            </a:schemeClr>
          </a:solidFill>
          <a:ln w="19050">
            <a:solidFill>
              <a:schemeClr val="lt1"/>
            </a:solidFill>
          </a:ln>
          <a:effectLst/>
        </c:spPr>
        <c:dLbl>
          <c:idx val="0"/>
          <c:layout>
            <c:manualLayout>
              <c:x val="0"/>
              <c:y val="-2.3148148148148147E-2"/>
            </c:manualLayout>
          </c:layout>
          <c:tx>
            <c:rich>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fld id="{32303145-E195-4E8D-A6E0-F44818A6A2EE}" type="CATEGORYNAME">
                  <a:rPr lang="ar-EG" sz="8800" b="1"/>
                  <a:pPr algn="ctr">
                    <a:defRPr sz="13800" b="1">
                      <a:solidFill>
                        <a:schemeClr val="bg1"/>
                      </a:solidFill>
                    </a:defRPr>
                  </a:pPr>
                  <a:t>[CATEGORY NAME]</a:t>
                </a:fld>
                <a:r>
                  <a:rPr lang="ar-EG" sz="8800" b="1" baseline="0"/>
                  <a:t>
</a:t>
                </a:r>
                <a:fld id="{8607D339-3A1A-4513-A059-2FC1EA6B3B3B}" type="PERCENTAGE">
                  <a:rPr lang="ar-EG" sz="8800" b="1" baseline="0"/>
                  <a:pPr algn="ctr">
                    <a:defRPr sz="13800" b="1">
                      <a:solidFill>
                        <a:schemeClr val="bg1"/>
                      </a:solidFill>
                    </a:defRPr>
                  </a:pPr>
                  <a:t>[PERCENTAGE]</a:t>
                </a:fld>
                <a:endParaRPr lang="ar-EG" sz="8800" b="1"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5"/>
          </a:solidFill>
          <a:ln w="19050">
            <a:solidFill>
              <a:schemeClr val="lt1"/>
            </a:solidFill>
          </a:ln>
          <a:effectLst/>
        </c:spPr>
        <c:dLbl>
          <c:idx val="0"/>
          <c:layout>
            <c:manualLayout>
              <c:x val="-5.8577686198388275E-2"/>
              <c:y val="-9.7736625514403264E-2"/>
            </c:manualLayout>
          </c:layout>
          <c:tx>
            <c:rich>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fld id="{030F95CE-76EA-46EE-85D4-EBDB2F06611D}" type="CATEGORYNAME">
                  <a:rPr lang="ar-EG" sz="8800" b="1"/>
                  <a:pPr algn="ctr">
                    <a:defRPr sz="13800" b="1">
                      <a:solidFill>
                        <a:schemeClr val="bg1"/>
                      </a:solidFill>
                    </a:defRPr>
                  </a:pPr>
                  <a:t>[CATEGORY NAME]</a:t>
                </a:fld>
                <a:r>
                  <a:rPr lang="ar-EG" sz="8800" b="1" baseline="0"/>
                  <a:t>
</a:t>
                </a:r>
                <a:fld id="{B1045758-B775-4DAB-A3A1-A27DA9D65AB6}" type="PERCENTAGE">
                  <a:rPr lang="ar-EG" sz="8800" b="1" baseline="0"/>
                  <a:pPr algn="ctr">
                    <a:defRPr sz="13800" b="1">
                      <a:solidFill>
                        <a:schemeClr val="bg1"/>
                      </a:solidFill>
                    </a:defRPr>
                  </a:pPr>
                  <a:t>[PERCENTAGE]</a:t>
                </a:fld>
                <a:endParaRPr lang="ar-EG" sz="8800" b="1" baseline="0"/>
              </a:p>
            </c:rich>
          </c:tx>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5">
              <a:tint val="65000"/>
            </a:schemeClr>
          </a:solidFill>
          <a:ln w="19050">
            <a:solidFill>
              <a:schemeClr val="lt1"/>
            </a:solidFill>
          </a:ln>
          <a:effectLst/>
        </c:spPr>
      </c:pivotFmt>
    </c:pivotFmts>
    <c:plotArea>
      <c:layout>
        <c:manualLayout>
          <c:layoutTarget val="inner"/>
          <c:xMode val="edge"/>
          <c:yMode val="edge"/>
          <c:x val="0.21405580547698122"/>
          <c:y val="0.11553448411168395"/>
          <c:w val="0.47241571669212989"/>
          <c:h val="0.88446547098033013"/>
        </c:manualLayout>
      </c:layout>
      <c:pieChart>
        <c:varyColors val="1"/>
        <c:ser>
          <c:idx val="0"/>
          <c:order val="0"/>
          <c:tx>
            <c:strRef>
              <c:f>pivot!$AW$3</c:f>
              <c:strCache>
                <c:ptCount val="1"/>
                <c:pt idx="0">
                  <c:v>Total</c:v>
                </c:pt>
              </c:strCache>
            </c:strRef>
          </c:tx>
          <c:explosion val="1"/>
          <c:dPt>
            <c:idx val="0"/>
            <c:bubble3D val="0"/>
            <c:spPr>
              <a:solidFill>
                <a:schemeClr val="accent5"/>
              </a:solidFill>
              <a:ln w="19050">
                <a:solidFill>
                  <a:schemeClr val="lt1"/>
                </a:solidFill>
              </a:ln>
              <a:effectLst/>
            </c:spPr>
            <c:extLst>
              <c:ext xmlns:c16="http://schemas.microsoft.com/office/drawing/2014/chart" uri="{C3380CC4-5D6E-409C-BE32-E72D297353CC}">
                <c16:uniqueId val="{00000001-7D17-4DDE-A0ED-2F3629709509}"/>
              </c:ext>
            </c:extLst>
          </c:dPt>
          <c:dPt>
            <c:idx val="1"/>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3-7D17-4DDE-A0ED-2F3629709509}"/>
              </c:ext>
            </c:extLst>
          </c:dPt>
          <c:dPt>
            <c:idx val="2"/>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05-7D17-4DDE-A0ED-2F3629709509}"/>
              </c:ext>
            </c:extLst>
          </c:dPt>
          <c:dLbls>
            <c:dLbl>
              <c:idx val="0"/>
              <c:layout>
                <c:manualLayout>
                  <c:x val="-5.8577686198388275E-2"/>
                  <c:y val="-9.7736625514403264E-2"/>
                </c:manualLayout>
              </c:layout>
              <c:tx>
                <c:rich>
                  <a:bodyPr/>
                  <a:lstStyle/>
                  <a:p>
                    <a:fld id="{030F95CE-76EA-46EE-85D4-EBDB2F06611D}" type="CATEGORYNAME">
                      <a:rPr lang="ar-EG" sz="8800" b="1"/>
                      <a:pPr/>
                      <a:t>[CATEGORY NAME]</a:t>
                    </a:fld>
                    <a:r>
                      <a:rPr lang="ar-EG" sz="8800" b="1" baseline="0"/>
                      <a:t>
</a:t>
                    </a:r>
                    <a:fld id="{B1045758-B775-4DAB-A3A1-A27DA9D65AB6}" type="PERCENTAGE">
                      <a:rPr lang="ar-EG" sz="8800" b="1" baseline="0"/>
                      <a:pPr/>
                      <a:t>[PERCENTAGE]</a:t>
                    </a:fld>
                    <a:endParaRPr lang="ar-EG" sz="8800"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D17-4DDE-A0ED-2F3629709509}"/>
                </c:ext>
              </c:extLst>
            </c:dLbl>
            <c:spPr>
              <a:solidFill>
                <a:srgbClr val="1B2A49"/>
              </a:solidFill>
              <a:ln>
                <a:noFill/>
              </a:ln>
              <a:effectLst/>
            </c:spPr>
            <c:txPr>
              <a:bodyPr rot="0" spcFirstLastPara="1" vertOverflow="clip" horzOverflow="clip" vert="horz" wrap="square" lIns="38100" tIns="19050" rIns="38100" bIns="19050" anchor="ctr" anchorCtr="0">
                <a:spAutoFit/>
              </a:bodyPr>
              <a:lstStyle/>
              <a:p>
                <a:pPr algn="ctr">
                  <a:defRPr lang="en-US" sz="138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pivot!$AV$4:$AV$6</c:f>
              <c:strCache>
                <c:ptCount val="2"/>
                <c:pt idx="0">
                  <c:v>متأخر</c:v>
                </c:pt>
                <c:pt idx="1">
                  <c:v>(blank)</c:v>
                </c:pt>
              </c:strCache>
            </c:strRef>
          </c:cat>
          <c:val>
            <c:numRef>
              <c:f>pivot!$AW$4:$AW$6</c:f>
              <c:numCache>
                <c:formatCode>General</c:formatCode>
                <c:ptCount val="2"/>
                <c:pt idx="0">
                  <c:v>2</c:v>
                </c:pt>
              </c:numCache>
            </c:numRef>
          </c:val>
          <c:extLst>
            <c:ext xmlns:c16="http://schemas.microsoft.com/office/drawing/2014/chart" uri="{C3380CC4-5D6E-409C-BE32-E72D297353CC}">
              <c16:uniqueId val="{00000006-7D17-4DDE-A0ED-2F362970950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73817371665752"/>
          <c:y val="9.2982295660997763E-2"/>
          <c:w val="0.68626182628334254"/>
          <c:h val="0.891113764807835"/>
        </c:manualLayout>
      </c:layout>
      <c:barChart>
        <c:barDir val="bar"/>
        <c:grouping val="clustered"/>
        <c:varyColors val="0"/>
        <c:ser>
          <c:idx val="0"/>
          <c:order val="0"/>
          <c:tx>
            <c:strRef>
              <c:f>pivot!$S$2</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pivot!$R$3:$R$4</c:f>
              <c:strCache>
                <c:ptCount val="1"/>
                <c:pt idx="0">
                  <c:v>(blank)</c:v>
                </c:pt>
              </c:strCache>
            </c:strRef>
          </c:cat>
          <c:val>
            <c:numRef>
              <c:f>pivot!$S$3:$S$4</c:f>
              <c:numCache>
                <c:formatCode>General</c:formatCode>
                <c:ptCount val="1"/>
              </c:numCache>
            </c:numRef>
          </c:val>
          <c:extLst>
            <c:ext xmlns:c16="http://schemas.microsoft.com/office/drawing/2014/chart" uri="{C3380CC4-5D6E-409C-BE32-E72D297353CC}">
              <c16:uniqueId val="{00000000-FEC2-4F8E-8718-8C5C6F107C11}"/>
            </c:ext>
          </c:extLst>
        </c:ser>
        <c:dLbls>
          <c:dLblPos val="outEnd"/>
          <c:showLegendKey val="0"/>
          <c:showVal val="1"/>
          <c:showCatName val="0"/>
          <c:showSerName val="0"/>
          <c:showPercent val="0"/>
          <c:showBubbleSize val="0"/>
        </c:dLbls>
        <c:gapWidth val="182"/>
        <c:axId val="1770402863"/>
        <c:axId val="1770403343"/>
      </c:barChart>
      <c:catAx>
        <c:axId val="1770402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800" b="1" i="0" u="none" strike="noStrike" kern="1200" baseline="0">
                <a:solidFill>
                  <a:schemeClr val="bg1"/>
                </a:solidFill>
                <a:latin typeface="+mn-lt"/>
                <a:ea typeface="+mn-ea"/>
                <a:cs typeface="+mn-cs"/>
              </a:defRPr>
            </a:pPr>
            <a:endParaRPr lang="en-US"/>
          </a:p>
        </c:txPr>
        <c:crossAx val="1770403343"/>
        <c:crosses val="autoZero"/>
        <c:auto val="1"/>
        <c:lblAlgn val="ctr"/>
        <c:lblOffset val="100"/>
        <c:noMultiLvlLbl val="0"/>
      </c:catAx>
      <c:valAx>
        <c:axId val="1770403343"/>
        <c:scaling>
          <c:orientation val="minMax"/>
        </c:scaling>
        <c:delete val="1"/>
        <c:axPos val="b"/>
        <c:numFmt formatCode="General" sourceLinked="1"/>
        <c:majorTickMark val="out"/>
        <c:minorTickMark val="none"/>
        <c:tickLblPos val="nextTo"/>
        <c:crossAx val="1770402863"/>
        <c:crosses val="autoZero"/>
        <c:crossBetween val="between"/>
      </c:valAx>
      <c:spPr>
        <a:solidFill>
          <a:srgbClr val="1B2A4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.xlsx]pivot!PivotTable14</c:name>
    <c:fmtId val="2"/>
  </c:pivotSource>
  <c:chart>
    <c:title>
      <c:tx>
        <c:rich>
          <a:bodyPr rot="0" spcFirstLastPara="1" vertOverflow="ellipsis" vert="horz" wrap="square" anchor="ctr" anchorCtr="1"/>
          <a:lstStyle/>
          <a:p>
            <a:pPr algn="r" rtl="0">
              <a:defRPr lang="en-US" sz="13800" b="1" i="0" u="none" strike="noStrike" kern="1200" spc="0" baseline="0">
                <a:solidFill>
                  <a:srgbClr val="FF0000"/>
                </a:solidFill>
                <a:latin typeface="+mn-lt"/>
                <a:ea typeface="+mn-ea"/>
                <a:cs typeface="+mn-cs"/>
              </a:defRPr>
            </a:pPr>
            <a:r>
              <a:rPr lang="en-US" sz="16600" b="1" i="0" u="none" strike="noStrike" kern="1200" spc="0" baseline="0">
                <a:solidFill>
                  <a:srgbClr val="FF0000"/>
                </a:solidFill>
                <a:latin typeface="+mn-lt"/>
                <a:ea typeface="+mn-ea"/>
                <a:cs typeface="+mn-cs"/>
              </a:rPr>
              <a:t>Total Sales By Month</a:t>
            </a:r>
          </a:p>
        </c:rich>
      </c:tx>
      <c:layout>
        <c:manualLayout>
          <c:xMode val="edge"/>
          <c:yMode val="edge"/>
          <c:x val="0.30145408273998747"/>
          <c:y val="1.0627608392714398E-2"/>
        </c:manualLayout>
      </c:layout>
      <c:overlay val="0"/>
      <c:spPr>
        <a:noFill/>
        <a:ln>
          <a:noFill/>
        </a:ln>
        <a:effectLst/>
      </c:spPr>
      <c:txPr>
        <a:bodyPr rot="0" spcFirstLastPara="1" vertOverflow="ellipsis" vert="horz" wrap="square" anchor="ctr" anchorCtr="1"/>
        <a:lstStyle/>
        <a:p>
          <a:pPr algn="r" rtl="0">
            <a:defRPr lang="en-US" sz="13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triangle"/>
          <c:size val="5"/>
          <c:spPr>
            <a:solidFill>
              <a:schemeClr val="accent1"/>
            </a:solidFill>
            <a:ln w="295275">
              <a:solidFill>
                <a:srgbClr val="C00000"/>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en-US" sz="8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numFmt formatCode="#,##0.00" sourceLinked="0"/>
          <c:spPr>
            <a:solidFill>
              <a:srgbClr val="1B2A49"/>
            </a:solidFill>
            <a:ln>
              <a:noFill/>
            </a:ln>
            <a:effectLst/>
          </c:spPr>
          <c:txPr>
            <a:bodyPr rot="0" spcFirstLastPara="1" vertOverflow="ellipsis" vert="horz" wrap="square" anchor="ctr" anchorCtr="1"/>
            <a:lstStyle/>
            <a:p>
              <a:pPr>
                <a:defRPr lang="en-US" sz="9600" b="1" i="0" u="none" strike="noStrike" kern="1200" baseline="0">
                  <a:solidFill>
                    <a:srgbClr val="1B2A49"/>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pivotFmt>
      <c:pivotFmt>
        <c:idx val="6"/>
        <c:marker>
          <c:spPr>
            <a:solidFill>
              <a:srgbClr val="C00000"/>
            </a:solidFill>
            <a:ln w="142875">
              <a:solidFill>
                <a:srgbClr val="C00000"/>
              </a:solidFill>
            </a:ln>
            <a:effectLst/>
          </c:spPr>
        </c:marker>
      </c:pivotFmt>
      <c:pivotFmt>
        <c:idx val="7"/>
      </c:pivotFmt>
      <c:pivotFmt>
        <c:idx val="8"/>
      </c:pivotFmt>
      <c:pivotFmt>
        <c:idx val="9"/>
      </c:pivotFmt>
      <c:pivotFmt>
        <c:idx val="10"/>
      </c:pivotFmt>
    </c:pivotFmts>
    <c:plotArea>
      <c:layout>
        <c:manualLayout>
          <c:layoutTarget val="inner"/>
          <c:xMode val="edge"/>
          <c:yMode val="edge"/>
          <c:x val="8.5935953720982075E-2"/>
          <c:y val="0.27267960571014982"/>
          <c:w val="0.89104783406498955"/>
          <c:h val="0.56810666043995484"/>
        </c:manualLayout>
      </c:layout>
      <c:lineChart>
        <c:grouping val="standard"/>
        <c:varyColors val="0"/>
        <c:ser>
          <c:idx val="0"/>
          <c:order val="0"/>
          <c:tx>
            <c:strRef>
              <c:f>pivot!$BA$2</c:f>
              <c:strCache>
                <c:ptCount val="1"/>
                <c:pt idx="0">
                  <c:v>Total</c:v>
                </c:pt>
              </c:strCache>
            </c:strRef>
          </c:tx>
          <c:spPr>
            <a:ln w="28575" cap="rnd">
              <a:solidFill>
                <a:schemeClr val="accent1"/>
              </a:solidFill>
              <a:round/>
            </a:ln>
            <a:effectLst/>
          </c:spPr>
          <c:marker>
            <c:symbol val="triangle"/>
            <c:size val="5"/>
            <c:spPr>
              <a:solidFill>
                <a:schemeClr val="accent1"/>
              </a:solidFill>
              <a:ln w="295275">
                <a:solidFill>
                  <a:srgbClr val="C00000"/>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lang="en-US" sz="8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pivot!$AZ$3:$AZ$4</c:f>
              <c:strCache>
                <c:ptCount val="1"/>
                <c:pt idx="0">
                  <c:v>Aug</c:v>
                </c:pt>
              </c:strCache>
            </c:strRef>
          </c:cat>
          <c:val>
            <c:numRef>
              <c:f>pivot!$BA$3:$BA$4</c:f>
              <c:numCache>
                <c:formatCode>General</c:formatCode>
                <c:ptCount val="1"/>
                <c:pt idx="0">
                  <c:v>24000</c:v>
                </c:pt>
              </c:numCache>
            </c:numRef>
          </c:val>
          <c:smooth val="0"/>
          <c:extLst>
            <c:ext xmlns:c16="http://schemas.microsoft.com/office/drawing/2014/chart" uri="{C3380CC4-5D6E-409C-BE32-E72D297353CC}">
              <c16:uniqueId val="{00000000-16F2-4DB9-9C81-107D8EF2D2AD}"/>
            </c:ext>
          </c:extLst>
        </c:ser>
        <c:dLbls>
          <c:dLblPos val="t"/>
          <c:showLegendKey val="0"/>
          <c:showVal val="1"/>
          <c:showCatName val="0"/>
          <c:showSerName val="0"/>
          <c:showPercent val="0"/>
          <c:showBubbleSize val="0"/>
        </c:dLbls>
        <c:marker val="1"/>
        <c:smooth val="0"/>
        <c:axId val="881812927"/>
        <c:axId val="881809567"/>
      </c:lineChart>
      <c:catAx>
        <c:axId val="881812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600" b="1" i="0" u="none" strike="noStrike" kern="1200" baseline="0">
                <a:solidFill>
                  <a:schemeClr val="bg1"/>
                </a:solidFill>
                <a:latin typeface="+mn-lt"/>
                <a:ea typeface="+mn-ea"/>
                <a:cs typeface="+mn-cs"/>
              </a:defRPr>
            </a:pPr>
            <a:endParaRPr lang="en-US"/>
          </a:p>
        </c:txPr>
        <c:crossAx val="881809567"/>
        <c:crosses val="autoZero"/>
        <c:auto val="1"/>
        <c:lblAlgn val="ctr"/>
        <c:lblOffset val="100"/>
        <c:noMultiLvlLbl val="0"/>
      </c:catAx>
      <c:valAx>
        <c:axId val="881809567"/>
        <c:scaling>
          <c:orientation val="minMax"/>
        </c:scaling>
        <c:delete val="1"/>
        <c:axPos val="l"/>
        <c:numFmt formatCode="General" sourceLinked="1"/>
        <c:majorTickMark val="none"/>
        <c:minorTickMark val="none"/>
        <c:tickLblPos val="nextTo"/>
        <c:crossAx val="881812927"/>
        <c:crosses val="autoZero"/>
        <c:crossBetween val="between"/>
      </c:valAx>
      <c:spPr>
        <a:solidFill>
          <a:srgbClr val="1B2A4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lgn="ctr">
        <a:defRPr lang="en-US" sz="80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40003"/>
          </a:solidFill>
          <a:ln>
            <a:noFill/>
          </a:ln>
          <a:effectLst/>
        </c:spPr>
        <c:marker>
          <c:symbol val="none"/>
        </c:marker>
        <c:dLbl>
          <c:idx val="0"/>
          <c:spPr>
            <a:solidFill>
              <a:srgbClr val="182540"/>
            </a:solidFill>
            <a:ln>
              <a:noFill/>
            </a:ln>
            <a:effectLst/>
          </c:spPr>
          <c:txPr>
            <a:bodyPr rot="0" spcFirstLastPara="1" vertOverflow="ellipsis" vert="horz" wrap="square" lIns="38100" tIns="19050" rIns="38100" bIns="19050" anchor="ctr" anchorCtr="0">
              <a:spAutoFit/>
            </a:bodyPr>
            <a:lstStyle/>
            <a:p>
              <a:pPr algn="ctr">
                <a:defRPr lang="en-US" sz="1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80870014199046"/>
          <c:y val="3.5536288301041058E-4"/>
          <c:w val="0.82319131983502059"/>
          <c:h val="0.96866596142241224"/>
        </c:manualLayout>
      </c:layout>
      <c:barChart>
        <c:barDir val="bar"/>
        <c:grouping val="clustered"/>
        <c:varyColors val="0"/>
        <c:ser>
          <c:idx val="0"/>
          <c:order val="0"/>
          <c:tx>
            <c:strRef>
              <c:f>pivot!$M$2</c:f>
              <c:strCache>
                <c:ptCount val="1"/>
                <c:pt idx="0">
                  <c:v>Total</c:v>
                </c:pt>
              </c:strCache>
            </c:strRef>
          </c:tx>
          <c:spPr>
            <a:solidFill>
              <a:srgbClr val="B40003"/>
            </a:solidFill>
            <a:ln>
              <a:noFill/>
            </a:ln>
            <a:effectLst/>
          </c:spPr>
          <c:invertIfNegative val="0"/>
          <c:dLbls>
            <c:spPr>
              <a:solidFill>
                <a:srgbClr val="182540"/>
              </a:solidFill>
              <a:ln>
                <a:noFill/>
              </a:ln>
              <a:effectLst/>
            </c:spPr>
            <c:txPr>
              <a:bodyPr rot="0" spcFirstLastPara="1" vertOverflow="ellipsis" vert="horz" wrap="square" lIns="38100" tIns="19050" rIns="38100" bIns="19050" anchor="ctr" anchorCtr="0">
                <a:spAutoFit/>
              </a:bodyPr>
              <a:lstStyle/>
              <a:p>
                <a:pPr algn="ctr">
                  <a:defRPr lang="en-US" sz="11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pivot!$L$3:$L$4</c:f>
              <c:strCache>
                <c:ptCount val="1"/>
                <c:pt idx="0">
                  <c:v>القاهرة</c:v>
                </c:pt>
              </c:strCache>
            </c:strRef>
          </c:cat>
          <c:val>
            <c:numRef>
              <c:f>pivot!$M$3:$M$4</c:f>
              <c:numCache>
                <c:formatCode>General</c:formatCode>
                <c:ptCount val="1"/>
                <c:pt idx="0">
                  <c:v>3</c:v>
                </c:pt>
              </c:numCache>
            </c:numRef>
          </c:val>
          <c:extLst>
            <c:ext xmlns:c16="http://schemas.microsoft.com/office/drawing/2014/chart" uri="{C3380CC4-5D6E-409C-BE32-E72D297353CC}">
              <c16:uniqueId val="{00000000-A631-4B2F-8E35-DDD0DCA02540}"/>
            </c:ext>
          </c:extLst>
        </c:ser>
        <c:dLbls>
          <c:dLblPos val="outEnd"/>
          <c:showLegendKey val="0"/>
          <c:showVal val="1"/>
          <c:showCatName val="0"/>
          <c:showSerName val="0"/>
          <c:showPercent val="0"/>
          <c:showBubbleSize val="0"/>
        </c:dLbls>
        <c:gapWidth val="182"/>
        <c:axId val="769325919"/>
        <c:axId val="769330719"/>
      </c:barChart>
      <c:catAx>
        <c:axId val="769325919"/>
        <c:scaling>
          <c:orientation val="minMax"/>
        </c:scaling>
        <c:delete val="0"/>
        <c:axPos val="l"/>
        <c:numFmt formatCode="General" sourceLinked="1"/>
        <c:majorTickMark val="none"/>
        <c:minorTickMark val="none"/>
        <c:tickLblPos val="nextTo"/>
        <c:spPr>
          <a:solidFill>
            <a:srgbClr val="18254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800" b="1" i="0" u="none" strike="noStrike" kern="1200" baseline="0">
                <a:solidFill>
                  <a:schemeClr val="bg1"/>
                </a:solidFill>
                <a:latin typeface="+mn-lt"/>
                <a:ea typeface="+mn-ea"/>
                <a:cs typeface="+mn-cs"/>
              </a:defRPr>
            </a:pPr>
            <a:endParaRPr lang="en-US"/>
          </a:p>
        </c:txPr>
        <c:crossAx val="769330719"/>
        <c:crosses val="autoZero"/>
        <c:auto val="1"/>
        <c:lblAlgn val="ctr"/>
        <c:lblOffset val="100"/>
        <c:noMultiLvlLbl val="0"/>
      </c:catAx>
      <c:valAx>
        <c:axId val="769330719"/>
        <c:scaling>
          <c:orientation val="minMax"/>
        </c:scaling>
        <c:delete val="1"/>
        <c:axPos val="b"/>
        <c:numFmt formatCode="General" sourceLinked="1"/>
        <c:majorTickMark val="none"/>
        <c:minorTickMark val="none"/>
        <c:tickLblPos val="nextTo"/>
        <c:crossAx val="769325919"/>
        <c:crosses val="autoZero"/>
        <c:crossBetween val="between"/>
      </c:valAx>
      <c:spPr>
        <a:solidFill>
          <a:srgbClr val="1B2A4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pivot!$P$2</c:f>
              <c:strCache>
                <c:ptCount val="1"/>
                <c:pt idx="0">
                  <c:v>Total</c:v>
                </c:pt>
              </c:strCache>
            </c:strRef>
          </c:tx>
          <c:spPr>
            <a:solidFill>
              <a:schemeClr val="accent1"/>
            </a:solidFill>
            <a:ln>
              <a:noFill/>
            </a:ln>
            <a:effectLst/>
          </c:spPr>
          <c:invertIfNegative val="0"/>
          <c:cat>
            <c:strRef>
              <c:f>pivot!$O$3:$O$4</c:f>
              <c:strCache>
                <c:ptCount val="1"/>
                <c:pt idx="0">
                  <c:v>كنبه</c:v>
                </c:pt>
              </c:strCache>
            </c:strRef>
          </c:cat>
          <c:val>
            <c:numRef>
              <c:f>pivot!$P$3:$P$4</c:f>
              <c:numCache>
                <c:formatCode>General</c:formatCode>
                <c:ptCount val="1"/>
                <c:pt idx="0">
                  <c:v>3</c:v>
                </c:pt>
              </c:numCache>
            </c:numRef>
          </c:val>
          <c:extLst>
            <c:ext xmlns:c16="http://schemas.microsoft.com/office/drawing/2014/chart" uri="{C3380CC4-5D6E-409C-BE32-E72D297353CC}">
              <c16:uniqueId val="{00000000-7EE2-470F-A76B-55297CFE2AA4}"/>
            </c:ext>
          </c:extLst>
        </c:ser>
        <c:dLbls>
          <c:showLegendKey val="0"/>
          <c:showVal val="0"/>
          <c:showCatName val="0"/>
          <c:showSerName val="0"/>
          <c:showPercent val="0"/>
          <c:showBubbleSize val="0"/>
        </c:dLbls>
        <c:gapWidth val="182"/>
        <c:axId val="955602784"/>
        <c:axId val="955604704"/>
      </c:barChart>
      <c:catAx>
        <c:axId val="95560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04704"/>
        <c:crosses val="autoZero"/>
        <c:auto val="1"/>
        <c:lblAlgn val="ctr"/>
        <c:lblOffset val="100"/>
        <c:noMultiLvlLbl val="0"/>
      </c:catAx>
      <c:valAx>
        <c:axId val="955604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0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pivot!$A$2:$A$3</c:f>
              <c:strCache>
                <c:ptCount val="1"/>
                <c:pt idx="0">
                  <c:v>تاكى</c:v>
                </c:pt>
              </c:strCache>
            </c:strRef>
          </c:cat>
          <c:val>
            <c:numRef>
              <c:f>pivot!$B$2:$B$3</c:f>
              <c:numCache>
                <c:formatCode>General</c:formatCode>
                <c:ptCount val="1"/>
                <c:pt idx="0">
                  <c:v>3</c:v>
                </c:pt>
              </c:numCache>
            </c:numRef>
          </c:val>
          <c:extLst>
            <c:ext xmlns:c16="http://schemas.microsoft.com/office/drawing/2014/chart" uri="{C3380CC4-5D6E-409C-BE32-E72D297353CC}">
              <c16:uniqueId val="{00000000-334C-46CD-BC1D-0509F56A909A}"/>
            </c:ext>
          </c:extLst>
        </c:ser>
        <c:dLbls>
          <c:showLegendKey val="0"/>
          <c:showVal val="0"/>
          <c:showCatName val="0"/>
          <c:showSerName val="0"/>
          <c:showPercent val="0"/>
          <c:showBubbleSize val="0"/>
        </c:dLbls>
        <c:gapWidth val="182"/>
        <c:axId val="757145920"/>
        <c:axId val="757146400"/>
      </c:barChart>
      <c:catAx>
        <c:axId val="75714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146400"/>
        <c:crosses val="autoZero"/>
        <c:auto val="1"/>
        <c:lblAlgn val="ctr"/>
        <c:lblOffset val="100"/>
        <c:noMultiLvlLbl val="0"/>
      </c:catAx>
      <c:valAx>
        <c:axId val="757146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14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2847056684625975E-2"/>
              <c:y val="-6.09515704992012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pivot!$Y$3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BF1-4C8A-A836-DA5A609329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C3-4E10-AD2D-D22014A5C1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C3-4E10-AD2D-D22014A5C10F}"/>
              </c:ext>
            </c:extLst>
          </c:dPt>
          <c:dLbls>
            <c:dLbl>
              <c:idx val="0"/>
              <c:layout>
                <c:manualLayout>
                  <c:x val="4.2847056684625975E-2"/>
                  <c:y val="-6.09515704992012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F1-4C8A-A836-DA5A609329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pivot!$X$4:$X$6</c:f>
              <c:strCache>
                <c:ptCount val="2"/>
                <c:pt idx="0">
                  <c:v>تم التسليم</c:v>
                </c:pt>
                <c:pt idx="1">
                  <c:v>فشل التسليم</c:v>
                </c:pt>
              </c:strCache>
            </c:strRef>
          </c:cat>
          <c:val>
            <c:numRef>
              <c:f>pivot!$Y$4:$Y$6</c:f>
              <c:numCache>
                <c:formatCode>0.00%</c:formatCode>
                <c:ptCount val="2"/>
                <c:pt idx="0">
                  <c:v>0.66666666666666663</c:v>
                </c:pt>
                <c:pt idx="1">
                  <c:v>0.33333333333333331</c:v>
                </c:pt>
              </c:numCache>
            </c:numRef>
          </c:val>
          <c:extLst>
            <c:ext xmlns:c16="http://schemas.microsoft.com/office/drawing/2014/chart" uri="{C3380CC4-5D6E-409C-BE32-E72D297353CC}">
              <c16:uniqueId val="{00000000-3BF1-4C8A-A836-DA5A609329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pivot!$AF$4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27-404E-8C94-0F2E307FA5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27-404E-8C94-0F2E307FA5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27-404E-8C94-0F2E307FA5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27-404E-8C94-0F2E307FA5B4}"/>
              </c:ext>
            </c:extLst>
          </c:dPt>
          <c:cat>
            <c:strRef>
              <c:f>pivot!$AE$5:$AE$6</c:f>
              <c:strCache>
                <c:ptCount val="1"/>
                <c:pt idx="0">
                  <c:v>كاش</c:v>
                </c:pt>
              </c:strCache>
            </c:strRef>
          </c:cat>
          <c:val>
            <c:numRef>
              <c:f>pivot!$AF$5:$AF$6</c:f>
              <c:numCache>
                <c:formatCode>0.00%</c:formatCode>
                <c:ptCount val="1"/>
                <c:pt idx="0">
                  <c:v>1</c:v>
                </c:pt>
              </c:numCache>
            </c:numRef>
          </c:val>
          <c:extLst>
            <c:ext xmlns:c16="http://schemas.microsoft.com/office/drawing/2014/chart" uri="{C3380CC4-5D6E-409C-BE32-E72D297353CC}">
              <c16:uniqueId val="{00000000-FDA9-4279-98F5-B599265300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pivot!$AT$3</c:f>
              <c:strCache>
                <c:ptCount val="1"/>
                <c:pt idx="0">
                  <c:v>Total</c:v>
                </c:pt>
              </c:strCache>
            </c:strRef>
          </c:tx>
          <c:spPr>
            <a:solidFill>
              <a:schemeClr val="accent1"/>
            </a:solidFill>
            <a:ln>
              <a:noFill/>
            </a:ln>
            <a:effectLst/>
          </c:spPr>
          <c:invertIfNegative val="0"/>
          <c:cat>
            <c:strRef>
              <c:f>pivot!$AS$4:$AS$6</c:f>
              <c:strCache>
                <c:ptCount val="2"/>
                <c:pt idx="0">
                  <c:v>(blank)</c:v>
                </c:pt>
                <c:pt idx="1">
                  <c:v>تم التسليم محمود على </c:v>
                </c:pt>
              </c:strCache>
            </c:strRef>
          </c:cat>
          <c:val>
            <c:numRef>
              <c:f>pivot!$AT$4:$AT$6</c:f>
              <c:numCache>
                <c:formatCode>General</c:formatCode>
                <c:ptCount val="2"/>
                <c:pt idx="1">
                  <c:v>2</c:v>
                </c:pt>
              </c:numCache>
            </c:numRef>
          </c:val>
          <c:extLst>
            <c:ext xmlns:c16="http://schemas.microsoft.com/office/drawing/2014/chart" uri="{C3380CC4-5D6E-409C-BE32-E72D297353CC}">
              <c16:uniqueId val="{00000000-1E87-496C-998E-43B1C55824E1}"/>
            </c:ext>
          </c:extLst>
        </c:ser>
        <c:dLbls>
          <c:showLegendKey val="0"/>
          <c:showVal val="0"/>
          <c:showCatName val="0"/>
          <c:showSerName val="0"/>
          <c:showPercent val="0"/>
          <c:showBubbleSize val="0"/>
        </c:dLbls>
        <c:gapWidth val="182"/>
        <c:axId val="268195263"/>
        <c:axId val="268178943"/>
      </c:barChart>
      <c:catAx>
        <c:axId val="26819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178943"/>
        <c:crosses val="autoZero"/>
        <c:auto val="1"/>
        <c:lblAlgn val="ctr"/>
        <c:lblOffset val="100"/>
        <c:noMultiLvlLbl val="0"/>
      </c:catAx>
      <c:valAx>
        <c:axId val="268178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19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pivot!$AW$3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74-4B07-A6ED-31D81009BA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74-4B07-A6ED-31D81009BA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74-4B07-A6ED-31D81009BAAE}"/>
              </c:ext>
            </c:extLst>
          </c:dPt>
          <c:cat>
            <c:strRef>
              <c:f>pivot!$AV$4:$AV$6</c:f>
              <c:strCache>
                <c:ptCount val="2"/>
                <c:pt idx="0">
                  <c:v>متأخر</c:v>
                </c:pt>
                <c:pt idx="1">
                  <c:v>(blank)</c:v>
                </c:pt>
              </c:strCache>
            </c:strRef>
          </c:cat>
          <c:val>
            <c:numRef>
              <c:f>pivot!$AW$4:$AW$6</c:f>
              <c:numCache>
                <c:formatCode>General</c:formatCode>
                <c:ptCount val="2"/>
                <c:pt idx="0">
                  <c:v>2</c:v>
                </c:pt>
              </c:numCache>
            </c:numRef>
          </c:val>
          <c:extLst>
            <c:ext xmlns:c16="http://schemas.microsoft.com/office/drawing/2014/chart" uri="{C3380CC4-5D6E-409C-BE32-E72D297353CC}">
              <c16:uniqueId val="{00000000-5B2D-4EFC-824C-D393365F77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pivot!$S$2</c:f>
              <c:strCache>
                <c:ptCount val="1"/>
                <c:pt idx="0">
                  <c:v>Total</c:v>
                </c:pt>
              </c:strCache>
            </c:strRef>
          </c:tx>
          <c:spPr>
            <a:solidFill>
              <a:schemeClr val="accent1"/>
            </a:solidFill>
            <a:ln>
              <a:noFill/>
            </a:ln>
            <a:effectLst/>
          </c:spPr>
          <c:invertIfNegative val="0"/>
          <c:cat>
            <c:strRef>
              <c:f>pivot!$R$3:$R$4</c:f>
              <c:strCache>
                <c:ptCount val="1"/>
                <c:pt idx="0">
                  <c:v>(blank)</c:v>
                </c:pt>
              </c:strCache>
            </c:strRef>
          </c:cat>
          <c:val>
            <c:numRef>
              <c:f>pivot!$S$3:$S$4</c:f>
              <c:numCache>
                <c:formatCode>General</c:formatCode>
                <c:ptCount val="1"/>
              </c:numCache>
            </c:numRef>
          </c:val>
          <c:extLst>
            <c:ext xmlns:c16="http://schemas.microsoft.com/office/drawing/2014/chart" uri="{C3380CC4-5D6E-409C-BE32-E72D297353CC}">
              <c16:uniqueId val="{00000000-7F1C-458D-AAE6-60F2704790EE}"/>
            </c:ext>
          </c:extLst>
        </c:ser>
        <c:dLbls>
          <c:showLegendKey val="0"/>
          <c:showVal val="0"/>
          <c:showCatName val="0"/>
          <c:showSerName val="0"/>
          <c:showPercent val="0"/>
          <c:showBubbleSize val="0"/>
        </c:dLbls>
        <c:gapWidth val="182"/>
        <c:axId val="1770402863"/>
        <c:axId val="1770403343"/>
      </c:barChart>
      <c:catAx>
        <c:axId val="177040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403343"/>
        <c:crosses val="autoZero"/>
        <c:auto val="1"/>
        <c:lblAlgn val="ctr"/>
        <c:lblOffset val="100"/>
        <c:noMultiLvlLbl val="0"/>
      </c:catAx>
      <c:valAx>
        <c:axId val="1770403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40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pivot!$BA$2</c:f>
              <c:strCache>
                <c:ptCount val="1"/>
                <c:pt idx="0">
                  <c:v>Total</c:v>
                </c:pt>
              </c:strCache>
            </c:strRef>
          </c:tx>
          <c:spPr>
            <a:ln w="28575" cap="rnd">
              <a:solidFill>
                <a:schemeClr val="accent1"/>
              </a:solidFill>
              <a:round/>
            </a:ln>
            <a:effectLst/>
          </c:spPr>
          <c:marker>
            <c:symbol val="none"/>
          </c:marker>
          <c:cat>
            <c:strRef>
              <c:f>pivot!$AZ$3:$AZ$4</c:f>
              <c:strCache>
                <c:ptCount val="1"/>
                <c:pt idx="0">
                  <c:v>Aug</c:v>
                </c:pt>
              </c:strCache>
            </c:strRef>
          </c:cat>
          <c:val>
            <c:numRef>
              <c:f>pivot!$BA$3:$BA$4</c:f>
              <c:numCache>
                <c:formatCode>General</c:formatCode>
                <c:ptCount val="1"/>
                <c:pt idx="0">
                  <c:v>24000</c:v>
                </c:pt>
              </c:numCache>
            </c:numRef>
          </c:val>
          <c:smooth val="0"/>
          <c:extLst>
            <c:ext xmlns:c16="http://schemas.microsoft.com/office/drawing/2014/chart" uri="{C3380CC4-5D6E-409C-BE32-E72D297353CC}">
              <c16:uniqueId val="{00000000-0338-4D7F-B683-984636326802}"/>
            </c:ext>
          </c:extLst>
        </c:ser>
        <c:dLbls>
          <c:showLegendKey val="0"/>
          <c:showVal val="0"/>
          <c:showCatName val="0"/>
          <c:showSerName val="0"/>
          <c:showPercent val="0"/>
          <c:showBubbleSize val="0"/>
        </c:dLbls>
        <c:smooth val="0"/>
        <c:axId val="881812927"/>
        <c:axId val="881809567"/>
      </c:lineChart>
      <c:catAx>
        <c:axId val="88181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09567"/>
        <c:crosses val="autoZero"/>
        <c:auto val="1"/>
        <c:lblAlgn val="ctr"/>
        <c:lblOffset val="100"/>
        <c:noMultiLvlLbl val="0"/>
      </c:catAx>
      <c:valAx>
        <c:axId val="88180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1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project final .xlsx]pivot!PivotTable2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pivot!$M$2</c:f>
              <c:strCache>
                <c:ptCount val="1"/>
                <c:pt idx="0">
                  <c:v>Total</c:v>
                </c:pt>
              </c:strCache>
            </c:strRef>
          </c:tx>
          <c:spPr>
            <a:solidFill>
              <a:schemeClr val="accent1"/>
            </a:solidFill>
            <a:ln>
              <a:noFill/>
            </a:ln>
            <a:effectLst/>
          </c:spPr>
          <c:invertIfNegative val="0"/>
          <c:cat>
            <c:strRef>
              <c:f>pivot!$L$3:$L$4</c:f>
              <c:strCache>
                <c:ptCount val="1"/>
                <c:pt idx="0">
                  <c:v>القاهرة</c:v>
                </c:pt>
              </c:strCache>
            </c:strRef>
          </c:cat>
          <c:val>
            <c:numRef>
              <c:f>pivot!$M$3:$M$4</c:f>
              <c:numCache>
                <c:formatCode>General</c:formatCode>
                <c:ptCount val="1"/>
                <c:pt idx="0">
                  <c:v>3</c:v>
                </c:pt>
              </c:numCache>
            </c:numRef>
          </c:val>
          <c:extLst>
            <c:ext xmlns:c16="http://schemas.microsoft.com/office/drawing/2014/chart" uri="{C3380CC4-5D6E-409C-BE32-E72D297353CC}">
              <c16:uniqueId val="{00000000-3B70-4B10-9F1F-DEF6855CC7C0}"/>
            </c:ext>
          </c:extLst>
        </c:ser>
        <c:dLbls>
          <c:showLegendKey val="0"/>
          <c:showVal val="0"/>
          <c:showCatName val="0"/>
          <c:showSerName val="0"/>
          <c:showPercent val="0"/>
          <c:showBubbleSize val="0"/>
        </c:dLbls>
        <c:gapWidth val="182"/>
        <c:axId val="769325919"/>
        <c:axId val="769330719"/>
      </c:barChart>
      <c:catAx>
        <c:axId val="76932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330719"/>
        <c:crosses val="autoZero"/>
        <c:auto val="1"/>
        <c:lblAlgn val="ctr"/>
        <c:lblOffset val="100"/>
        <c:noMultiLvlLbl val="0"/>
      </c:catAx>
      <c:valAx>
        <c:axId val="769330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32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jpe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61</xdr:col>
      <xdr:colOff>584200</xdr:colOff>
      <xdr:row>30</xdr:row>
      <xdr:rowOff>136768</xdr:rowOff>
    </xdr:from>
    <xdr:to>
      <xdr:col>106</xdr:col>
      <xdr:colOff>381000</xdr:colOff>
      <xdr:row>80</xdr:row>
      <xdr:rowOff>76200</xdr:rowOff>
    </xdr:to>
    <xdr:sp macro="" textlink="">
      <xdr:nvSpPr>
        <xdr:cNvPr id="2" name="Rectangle: Rounded Corners 1">
          <a:extLst>
            <a:ext uri="{FF2B5EF4-FFF2-40B4-BE49-F238E27FC236}">
              <a16:creationId xmlns:a16="http://schemas.microsoft.com/office/drawing/2014/main" id="{B06A6E28-36C0-2516-CDAF-AEAA1092B6C6}"/>
            </a:ext>
          </a:extLst>
        </xdr:cNvPr>
        <xdr:cNvSpPr/>
      </xdr:nvSpPr>
      <xdr:spPr>
        <a:xfrm>
          <a:off x="74803000" y="4708768"/>
          <a:ext cx="27228800" cy="7559432"/>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20</xdr:col>
      <xdr:colOff>1447800</xdr:colOff>
      <xdr:row>29</xdr:row>
      <xdr:rowOff>55013</xdr:rowOff>
    </xdr:from>
    <xdr:to>
      <xdr:col>61</xdr:col>
      <xdr:colOff>76200</xdr:colOff>
      <xdr:row>83</xdr:row>
      <xdr:rowOff>0</xdr:rowOff>
    </xdr:to>
    <xdr:sp macro="" textlink="">
      <xdr:nvSpPr>
        <xdr:cNvPr id="5" name="Rectangle: Rounded Corners 4">
          <a:extLst>
            <a:ext uri="{FF2B5EF4-FFF2-40B4-BE49-F238E27FC236}">
              <a16:creationId xmlns:a16="http://schemas.microsoft.com/office/drawing/2014/main" id="{EE8CA74A-4382-4170-AB36-6D0AF91876F3}"/>
            </a:ext>
          </a:extLst>
        </xdr:cNvPr>
        <xdr:cNvSpPr/>
      </xdr:nvSpPr>
      <xdr:spPr>
        <a:xfrm>
          <a:off x="47929800" y="4474613"/>
          <a:ext cx="26365200" cy="8174587"/>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2060"/>
            </a:solidFill>
          </a:endParaRPr>
        </a:p>
      </xdr:txBody>
    </xdr:sp>
    <xdr:clientData/>
  </xdr:twoCellAnchor>
  <xdr:twoCellAnchor>
    <xdr:from>
      <xdr:col>5</xdr:col>
      <xdr:colOff>8479971</xdr:colOff>
      <xdr:row>30</xdr:row>
      <xdr:rowOff>7735</xdr:rowOff>
    </xdr:from>
    <xdr:to>
      <xdr:col>20</xdr:col>
      <xdr:colOff>1</xdr:colOff>
      <xdr:row>86</xdr:row>
      <xdr:rowOff>0</xdr:rowOff>
    </xdr:to>
    <xdr:sp macro="" textlink="">
      <xdr:nvSpPr>
        <xdr:cNvPr id="8" name="Rectangle: Rounded Corners 7">
          <a:extLst>
            <a:ext uri="{FF2B5EF4-FFF2-40B4-BE49-F238E27FC236}">
              <a16:creationId xmlns:a16="http://schemas.microsoft.com/office/drawing/2014/main" id="{D9A2D25D-B883-4BBD-980C-9D66898A54E5}"/>
            </a:ext>
          </a:extLst>
        </xdr:cNvPr>
        <xdr:cNvSpPr/>
      </xdr:nvSpPr>
      <xdr:spPr>
        <a:xfrm>
          <a:off x="16099971" y="4579735"/>
          <a:ext cx="30382030" cy="8526665"/>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2060"/>
            </a:solidFill>
          </a:endParaRPr>
        </a:p>
      </xdr:txBody>
    </xdr:sp>
    <xdr:clientData/>
  </xdr:twoCellAnchor>
  <xdr:twoCellAnchor>
    <xdr:from>
      <xdr:col>5</xdr:col>
      <xdr:colOff>8458201</xdr:colOff>
      <xdr:row>32</xdr:row>
      <xdr:rowOff>76198</xdr:rowOff>
    </xdr:from>
    <xdr:to>
      <xdr:col>19</xdr:col>
      <xdr:colOff>533400</xdr:colOff>
      <xdr:row>51</xdr:row>
      <xdr:rowOff>-1</xdr:rowOff>
    </xdr:to>
    <xdr:sp macro="" textlink="">
      <xdr:nvSpPr>
        <xdr:cNvPr id="3" name="TextBox 2">
          <a:extLst>
            <a:ext uri="{FF2B5EF4-FFF2-40B4-BE49-F238E27FC236}">
              <a16:creationId xmlns:a16="http://schemas.microsoft.com/office/drawing/2014/main" id="{176970D5-C8F3-8644-2409-24B6DA1D4A3C}"/>
            </a:ext>
          </a:extLst>
        </xdr:cNvPr>
        <xdr:cNvSpPr txBox="1"/>
      </xdr:nvSpPr>
      <xdr:spPr>
        <a:xfrm>
          <a:off x="16078201" y="4952998"/>
          <a:ext cx="29413199" cy="281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9900" b="1">
              <a:solidFill>
                <a:srgbClr val="FF0000"/>
              </a:solidFill>
            </a:rPr>
            <a:t>Total</a:t>
          </a:r>
          <a:r>
            <a:rPr lang="en-US" sz="19900" b="1" baseline="0">
              <a:solidFill>
                <a:srgbClr val="FF0000"/>
              </a:solidFill>
            </a:rPr>
            <a:t> Sales</a:t>
          </a:r>
          <a:endParaRPr lang="en-US" sz="19900" b="1">
            <a:solidFill>
              <a:srgbClr val="FF0000"/>
            </a:solidFill>
          </a:endParaRPr>
        </a:p>
      </xdr:txBody>
    </xdr:sp>
    <xdr:clientData/>
  </xdr:twoCellAnchor>
  <xdr:twoCellAnchor>
    <xdr:from>
      <xdr:col>7</xdr:col>
      <xdr:colOff>548424</xdr:colOff>
      <xdr:row>59</xdr:row>
      <xdr:rowOff>79157</xdr:rowOff>
    </xdr:from>
    <xdr:to>
      <xdr:col>11</xdr:col>
      <xdr:colOff>255954</xdr:colOff>
      <xdr:row>65</xdr:row>
      <xdr:rowOff>76200</xdr:rowOff>
    </xdr:to>
    <xdr:sp macro="" textlink="pivot!$AJ$7">
      <xdr:nvSpPr>
        <xdr:cNvPr id="4" name="TextBox 3">
          <a:extLst>
            <a:ext uri="{FF2B5EF4-FFF2-40B4-BE49-F238E27FC236}">
              <a16:creationId xmlns:a16="http://schemas.microsoft.com/office/drawing/2014/main" id="{DEB22537-2695-4801-8AC7-5AABD16D26C6}"/>
            </a:ext>
          </a:extLst>
        </xdr:cNvPr>
        <xdr:cNvSpPr txBox="1"/>
      </xdr:nvSpPr>
      <xdr:spPr>
        <a:xfrm>
          <a:off x="27218424" y="9070757"/>
          <a:ext cx="5803530" cy="911443"/>
        </a:xfrm>
        <a:prstGeom prst="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93E28A9-4D08-4B2A-8774-68BDCBF3AE6D}" type="TxLink">
            <a:rPr lang="en-US" sz="9600" b="0" i="0" u="none" strike="noStrike">
              <a:ln>
                <a:noFill/>
              </a:ln>
              <a:solidFill>
                <a:schemeClr val="bg1"/>
              </a:solidFill>
              <a:latin typeface="Calibri"/>
              <a:ea typeface="Calibri"/>
              <a:cs typeface="Calibri"/>
            </a:rPr>
            <a:pPr marL="0" indent="0" algn="ctr"/>
            <a:t> 56,000 </a:t>
          </a:fld>
          <a:endParaRPr lang="en-US" sz="9600">
            <a:ln>
              <a:noFill/>
            </a:ln>
            <a:solidFill>
              <a:schemeClr val="bg1"/>
            </a:solidFill>
            <a:latin typeface="+mn-lt"/>
            <a:ea typeface="+mn-ea"/>
            <a:cs typeface="+mn-cs"/>
          </a:endParaRPr>
        </a:p>
      </xdr:txBody>
    </xdr:sp>
    <xdr:clientData/>
  </xdr:twoCellAnchor>
  <xdr:twoCellAnchor>
    <xdr:from>
      <xdr:col>21</xdr:col>
      <xdr:colOff>609599</xdr:colOff>
      <xdr:row>34</xdr:row>
      <xdr:rowOff>0</xdr:rowOff>
    </xdr:from>
    <xdr:to>
      <xdr:col>59</xdr:col>
      <xdr:colOff>293074</xdr:colOff>
      <xdr:row>52</xdr:row>
      <xdr:rowOff>0</xdr:rowOff>
    </xdr:to>
    <xdr:sp macro="" textlink="">
      <xdr:nvSpPr>
        <xdr:cNvPr id="6" name="TextBox 5">
          <a:extLst>
            <a:ext uri="{FF2B5EF4-FFF2-40B4-BE49-F238E27FC236}">
              <a16:creationId xmlns:a16="http://schemas.microsoft.com/office/drawing/2014/main" id="{7762D129-8554-B213-59A2-BE79E35CDC06}"/>
            </a:ext>
          </a:extLst>
        </xdr:cNvPr>
        <xdr:cNvSpPr txBox="1"/>
      </xdr:nvSpPr>
      <xdr:spPr>
        <a:xfrm flipH="1">
          <a:off x="48615599" y="5181600"/>
          <a:ext cx="24677075" cy="27432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9900" b="1">
              <a:solidFill>
                <a:srgbClr val="FF0000"/>
              </a:solidFill>
              <a:latin typeface="+mn-lt"/>
              <a:ea typeface="+mn-ea"/>
              <a:cs typeface="+mn-cs"/>
            </a:rPr>
            <a:t>Total</a:t>
          </a:r>
          <a:r>
            <a:rPr lang="en-US" sz="19900" b="1" baseline="0">
              <a:solidFill>
                <a:srgbClr val="FF0000"/>
              </a:solidFill>
              <a:latin typeface="+mn-lt"/>
              <a:ea typeface="+mn-ea"/>
              <a:cs typeface="+mn-cs"/>
            </a:rPr>
            <a:t> </a:t>
          </a:r>
          <a:r>
            <a:rPr lang="en-US" sz="19900" b="1">
              <a:solidFill>
                <a:srgbClr val="FF0000"/>
              </a:solidFill>
              <a:latin typeface="+mn-lt"/>
              <a:ea typeface="+mn-ea"/>
              <a:cs typeface="+mn-cs"/>
            </a:rPr>
            <a:t>Quantity</a:t>
          </a:r>
        </a:p>
        <a:p>
          <a:pPr algn="ctr"/>
          <a:endParaRPr lang="en-US" sz="1100" b="1">
            <a:solidFill>
              <a:schemeClr val="bg1"/>
            </a:solidFill>
            <a:latin typeface="+mn-lt"/>
            <a:ea typeface="+mn-ea"/>
            <a:cs typeface="+mn-cs"/>
          </a:endParaRPr>
        </a:p>
      </xdr:txBody>
    </xdr:sp>
    <xdr:clientData/>
  </xdr:twoCellAnchor>
  <xdr:twoCellAnchor>
    <xdr:from>
      <xdr:col>35</xdr:col>
      <xdr:colOff>127943</xdr:colOff>
      <xdr:row>57</xdr:row>
      <xdr:rowOff>33424</xdr:rowOff>
    </xdr:from>
    <xdr:to>
      <xdr:col>44</xdr:col>
      <xdr:colOff>225777</xdr:colOff>
      <xdr:row>65</xdr:row>
      <xdr:rowOff>84666</xdr:rowOff>
    </xdr:to>
    <xdr:sp macro="" textlink="pivot!$AL$7">
      <xdr:nvSpPr>
        <xdr:cNvPr id="7" name="TextBox 6">
          <a:extLst>
            <a:ext uri="{FF2B5EF4-FFF2-40B4-BE49-F238E27FC236}">
              <a16:creationId xmlns:a16="http://schemas.microsoft.com/office/drawing/2014/main" id="{0C460885-277D-7F94-C0A8-6E4CE53D9D95}"/>
            </a:ext>
          </a:extLst>
        </xdr:cNvPr>
        <xdr:cNvSpPr txBox="1"/>
      </xdr:nvSpPr>
      <xdr:spPr>
        <a:xfrm>
          <a:off x="58632610" y="9685424"/>
          <a:ext cx="5685834" cy="1405909"/>
        </a:xfrm>
        <a:prstGeom prst="rect">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D338F61-B291-44DD-B46B-66A6D63866D0}" type="TxLink">
            <a:rPr lang="en-US" sz="9600">
              <a:ln>
                <a:noFill/>
              </a:ln>
              <a:solidFill>
                <a:schemeClr val="lt1"/>
              </a:solidFill>
              <a:latin typeface="+mn-lt"/>
              <a:ea typeface="+mn-ea"/>
              <a:cs typeface="+mn-cs"/>
            </a:rPr>
            <a:pPr marL="0" indent="0" algn="ctr"/>
            <a:t>6</a:t>
          </a:fld>
          <a:endParaRPr lang="en-US" sz="9600">
            <a:ln>
              <a:noFill/>
            </a:ln>
            <a:solidFill>
              <a:schemeClr val="lt1"/>
            </a:solidFill>
            <a:latin typeface="+mn-lt"/>
            <a:ea typeface="+mn-ea"/>
            <a:cs typeface="+mn-cs"/>
          </a:endParaRPr>
        </a:p>
      </xdr:txBody>
    </xdr:sp>
    <xdr:clientData/>
  </xdr:twoCellAnchor>
  <xdr:twoCellAnchor>
    <xdr:from>
      <xdr:col>18</xdr:col>
      <xdr:colOff>457200</xdr:colOff>
      <xdr:row>166</xdr:row>
      <xdr:rowOff>76200</xdr:rowOff>
    </xdr:from>
    <xdr:to>
      <xdr:col>64</xdr:col>
      <xdr:colOff>533400</xdr:colOff>
      <xdr:row>264</xdr:row>
      <xdr:rowOff>76200</xdr:rowOff>
    </xdr:to>
    <xdr:sp macro="" textlink="">
      <xdr:nvSpPr>
        <xdr:cNvPr id="15" name="Rectangle: Rounded Corners 14">
          <a:extLst>
            <a:ext uri="{FF2B5EF4-FFF2-40B4-BE49-F238E27FC236}">
              <a16:creationId xmlns:a16="http://schemas.microsoft.com/office/drawing/2014/main" id="{9054755F-BB9F-4CAF-A19F-56A6EAA5C932}"/>
            </a:ext>
          </a:extLst>
        </xdr:cNvPr>
        <xdr:cNvSpPr/>
      </xdr:nvSpPr>
      <xdr:spPr>
        <a:xfrm>
          <a:off x="43891200" y="25298400"/>
          <a:ext cx="32689800" cy="149352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1485295</xdr:colOff>
      <xdr:row>174</xdr:row>
      <xdr:rowOff>0</xdr:rowOff>
    </xdr:from>
    <xdr:to>
      <xdr:col>62</xdr:col>
      <xdr:colOff>152400</xdr:colOff>
      <xdr:row>254</xdr:row>
      <xdr:rowOff>76199</xdr:rowOff>
    </xdr:to>
    <xdr:graphicFrame macro="">
      <xdr:nvGraphicFramePr>
        <xdr:cNvPr id="12" name="Chart 11">
          <a:extLst>
            <a:ext uri="{FF2B5EF4-FFF2-40B4-BE49-F238E27FC236}">
              <a16:creationId xmlns:a16="http://schemas.microsoft.com/office/drawing/2014/main" id="{78DBCB59-1177-4AC1-9562-DCFB6B492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685801</xdr:colOff>
      <xdr:row>0</xdr:row>
      <xdr:rowOff>0</xdr:rowOff>
    </xdr:from>
    <xdr:to>
      <xdr:col>5</xdr:col>
      <xdr:colOff>8001000</xdr:colOff>
      <xdr:row>382</xdr:row>
      <xdr:rowOff>0</xdr:rowOff>
    </xdr:to>
    <xdr:sp macro="" textlink="">
      <xdr:nvSpPr>
        <xdr:cNvPr id="16" name="Rectangle: Rounded Corners 15">
          <a:extLst>
            <a:ext uri="{FF2B5EF4-FFF2-40B4-BE49-F238E27FC236}">
              <a16:creationId xmlns:a16="http://schemas.microsoft.com/office/drawing/2014/main" id="{BCCF5C76-8899-7506-1CE5-C5DA7B28B70F}"/>
            </a:ext>
          </a:extLst>
        </xdr:cNvPr>
        <xdr:cNvSpPr/>
      </xdr:nvSpPr>
      <xdr:spPr>
        <a:xfrm>
          <a:off x="685801" y="0"/>
          <a:ext cx="14935199" cy="581406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381000</xdr:colOff>
      <xdr:row>5</xdr:row>
      <xdr:rowOff>0</xdr:rowOff>
    </xdr:from>
    <xdr:to>
      <xdr:col>5</xdr:col>
      <xdr:colOff>6477000</xdr:colOff>
      <xdr:row>53</xdr:row>
      <xdr:rowOff>94303</xdr:rowOff>
    </xdr:to>
    <xdr:pic>
      <xdr:nvPicPr>
        <xdr:cNvPr id="18" name="Picture 17">
          <a:extLst>
            <a:ext uri="{FF2B5EF4-FFF2-40B4-BE49-F238E27FC236}">
              <a16:creationId xmlns:a16="http://schemas.microsoft.com/office/drawing/2014/main" id="{C9C11069-3EF9-DA45-0080-765E2A38CF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00" y="762000"/>
          <a:ext cx="12192000" cy="7409503"/>
        </a:xfrm>
        <a:prstGeom prst="rect">
          <a:avLst/>
        </a:prstGeom>
        <a:ln>
          <a:noFill/>
        </a:ln>
      </xdr:spPr>
    </xdr:pic>
    <xdr:clientData/>
  </xdr:twoCellAnchor>
  <xdr:twoCellAnchor>
    <xdr:from>
      <xdr:col>139</xdr:col>
      <xdr:colOff>533400</xdr:colOff>
      <xdr:row>34</xdr:row>
      <xdr:rowOff>76200</xdr:rowOff>
    </xdr:from>
    <xdr:to>
      <xdr:col>173</xdr:col>
      <xdr:colOff>228600</xdr:colOff>
      <xdr:row>381</xdr:row>
      <xdr:rowOff>0</xdr:rowOff>
    </xdr:to>
    <xdr:sp macro="" textlink="">
      <xdr:nvSpPr>
        <xdr:cNvPr id="20" name="Rectangle: Rounded Corners 19">
          <a:extLst>
            <a:ext uri="{FF2B5EF4-FFF2-40B4-BE49-F238E27FC236}">
              <a16:creationId xmlns:a16="http://schemas.microsoft.com/office/drawing/2014/main" id="{4C74D739-6FF8-A47E-D16D-72C61012997C}"/>
            </a:ext>
          </a:extLst>
        </xdr:cNvPr>
        <xdr:cNvSpPr/>
      </xdr:nvSpPr>
      <xdr:spPr>
        <a:xfrm>
          <a:off x="122301000" y="5257800"/>
          <a:ext cx="20421600" cy="527304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142</xdr:col>
      <xdr:colOff>304800</xdr:colOff>
      <xdr:row>43</xdr:row>
      <xdr:rowOff>76200</xdr:rowOff>
    </xdr:from>
    <xdr:to>
      <xdr:col>171</xdr:col>
      <xdr:colOff>566057</xdr:colOff>
      <xdr:row>359</xdr:row>
      <xdr:rowOff>-1</xdr:rowOff>
    </xdr:to>
    <xdr:graphicFrame macro="">
      <xdr:nvGraphicFramePr>
        <xdr:cNvPr id="19" name="Chart 18">
          <a:extLst>
            <a:ext uri="{FF2B5EF4-FFF2-40B4-BE49-F238E27FC236}">
              <a16:creationId xmlns:a16="http://schemas.microsoft.com/office/drawing/2014/main" id="{31F38978-3706-45D3-AD27-349A4C38B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533400</xdr:colOff>
      <xdr:row>89</xdr:row>
      <xdr:rowOff>76200</xdr:rowOff>
    </xdr:from>
    <xdr:to>
      <xdr:col>60</xdr:col>
      <xdr:colOff>228600</xdr:colOff>
      <xdr:row>160</xdr:row>
      <xdr:rowOff>54428</xdr:rowOff>
    </xdr:to>
    <xdr:sp macro="" textlink="">
      <xdr:nvSpPr>
        <xdr:cNvPr id="28" name="Rectangle: Rounded Corners 27">
          <a:extLst>
            <a:ext uri="{FF2B5EF4-FFF2-40B4-BE49-F238E27FC236}">
              <a16:creationId xmlns:a16="http://schemas.microsoft.com/office/drawing/2014/main" id="{3D17E85E-5478-4946-A48A-DF01D28F4A69}"/>
            </a:ext>
          </a:extLst>
        </xdr:cNvPr>
        <xdr:cNvSpPr/>
      </xdr:nvSpPr>
      <xdr:spPr>
        <a:xfrm>
          <a:off x="47015400" y="13639800"/>
          <a:ext cx="26822400" cy="10722428"/>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228600</xdr:colOff>
      <xdr:row>36</xdr:row>
      <xdr:rowOff>0</xdr:rowOff>
    </xdr:from>
    <xdr:to>
      <xdr:col>139</xdr:col>
      <xdr:colOff>228600</xdr:colOff>
      <xdr:row>379</xdr:row>
      <xdr:rowOff>0</xdr:rowOff>
    </xdr:to>
    <xdr:sp macro="" textlink="">
      <xdr:nvSpPr>
        <xdr:cNvPr id="34" name="Rectangle: Rounded Corners 33">
          <a:extLst>
            <a:ext uri="{FF2B5EF4-FFF2-40B4-BE49-F238E27FC236}">
              <a16:creationId xmlns:a16="http://schemas.microsoft.com/office/drawing/2014/main" id="{D7CB55CE-C9E8-E0DA-1D64-F9B3A28B2D74}"/>
            </a:ext>
          </a:extLst>
        </xdr:cNvPr>
        <xdr:cNvSpPr/>
      </xdr:nvSpPr>
      <xdr:spPr>
        <a:xfrm>
          <a:off x="103098600" y="5486400"/>
          <a:ext cx="18897600" cy="52197000"/>
        </a:xfrm>
        <a:prstGeom prst="roundRect">
          <a:avLst>
            <a:gd name="adj" fmla="val 11404"/>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381001</xdr:colOff>
      <xdr:row>93</xdr:row>
      <xdr:rowOff>76200</xdr:rowOff>
    </xdr:from>
    <xdr:to>
      <xdr:col>58</xdr:col>
      <xdr:colOff>228601</xdr:colOff>
      <xdr:row>151</xdr:row>
      <xdr:rowOff>76200</xdr:rowOff>
    </xdr:to>
    <xdr:graphicFrame macro="">
      <xdr:nvGraphicFramePr>
        <xdr:cNvPr id="21" name="Chart 20">
          <a:extLst>
            <a:ext uri="{FF2B5EF4-FFF2-40B4-BE49-F238E27FC236}">
              <a16:creationId xmlns:a16="http://schemas.microsoft.com/office/drawing/2014/main" id="{2C1262DC-2C0D-40B5-8990-105C0B68C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8312726</xdr:colOff>
      <xdr:row>166</xdr:row>
      <xdr:rowOff>0</xdr:rowOff>
    </xdr:from>
    <xdr:to>
      <xdr:col>17</xdr:col>
      <xdr:colOff>1142999</xdr:colOff>
      <xdr:row>265</xdr:row>
      <xdr:rowOff>138545</xdr:rowOff>
    </xdr:to>
    <xdr:sp macro="" textlink="">
      <xdr:nvSpPr>
        <xdr:cNvPr id="24" name="Rectangle: Rounded Corners 23">
          <a:extLst>
            <a:ext uri="{FF2B5EF4-FFF2-40B4-BE49-F238E27FC236}">
              <a16:creationId xmlns:a16="http://schemas.microsoft.com/office/drawing/2014/main" id="{83C69C71-8ED3-2887-F93E-B3695960D0E4}"/>
            </a:ext>
          </a:extLst>
        </xdr:cNvPr>
        <xdr:cNvSpPr/>
      </xdr:nvSpPr>
      <xdr:spPr>
        <a:xfrm>
          <a:off x="15932726" y="34359273"/>
          <a:ext cx="27120273" cy="20712545"/>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894319</xdr:colOff>
      <xdr:row>51</xdr:row>
      <xdr:rowOff>86783</xdr:rowOff>
    </xdr:from>
    <xdr:to>
      <xdr:col>5</xdr:col>
      <xdr:colOff>7780867</xdr:colOff>
      <xdr:row>120</xdr:row>
      <xdr:rowOff>0</xdr:rowOff>
    </xdr:to>
    <mc:AlternateContent xmlns:mc="http://schemas.openxmlformats.org/markup-compatibility/2006" xmlns:a14="http://schemas.microsoft.com/office/drawing/2010/main">
      <mc:Choice Requires="a14">
        <xdr:graphicFrame macro="">
          <xdr:nvGraphicFramePr>
            <xdr:cNvPr id="9" name="الصنف 1">
              <a:extLst>
                <a:ext uri="{FF2B5EF4-FFF2-40B4-BE49-F238E27FC236}">
                  <a16:creationId xmlns:a16="http://schemas.microsoft.com/office/drawing/2014/main" id="{1C127F50-DEFE-416B-A068-ED89D9D05D3D}"/>
                </a:ext>
              </a:extLst>
            </xdr:cNvPr>
            <xdr:cNvGraphicFramePr/>
          </xdr:nvGraphicFramePr>
          <xdr:xfrm>
            <a:off x="0" y="0"/>
            <a:ext cx="0" cy="0"/>
          </xdr:xfrm>
          <a:graphic>
            <a:graphicData uri="http://schemas.microsoft.com/office/drawing/2010/slicer">
              <sle:slicer xmlns:sle="http://schemas.microsoft.com/office/drawing/2010/slicer" name="الصنف 1"/>
            </a:graphicData>
          </a:graphic>
        </xdr:graphicFrame>
      </mc:Choice>
      <mc:Fallback xmlns="">
        <xdr:sp macro="" textlink="">
          <xdr:nvSpPr>
            <xdr:cNvPr id="0" name=""/>
            <xdr:cNvSpPr>
              <a:spLocks noTextEdit="1"/>
            </xdr:cNvSpPr>
          </xdr:nvSpPr>
          <xdr:spPr>
            <a:xfrm>
              <a:off x="894319" y="7859183"/>
              <a:ext cx="14506548" cy="10428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829235</xdr:colOff>
      <xdr:row>119</xdr:row>
      <xdr:rowOff>0</xdr:rowOff>
    </xdr:from>
    <xdr:to>
      <xdr:col>5</xdr:col>
      <xdr:colOff>7747000</xdr:colOff>
      <xdr:row>214</xdr:row>
      <xdr:rowOff>76200</xdr:rowOff>
    </xdr:to>
    <mc:AlternateContent xmlns:mc="http://schemas.openxmlformats.org/markup-compatibility/2006" xmlns:a14="http://schemas.microsoft.com/office/drawing/2010/main">
      <mc:Choice Requires="a14">
        <xdr:graphicFrame macro="">
          <xdr:nvGraphicFramePr>
            <xdr:cNvPr id="13" name="منصة البيع  1">
              <a:extLst>
                <a:ext uri="{FF2B5EF4-FFF2-40B4-BE49-F238E27FC236}">
                  <a16:creationId xmlns:a16="http://schemas.microsoft.com/office/drawing/2014/main" id="{7C8752A4-9CAF-415A-A205-50816F2F008F}"/>
                </a:ext>
              </a:extLst>
            </xdr:cNvPr>
            <xdr:cNvGraphicFramePr/>
          </xdr:nvGraphicFramePr>
          <xdr:xfrm>
            <a:off x="0" y="0"/>
            <a:ext cx="0" cy="0"/>
          </xdr:xfrm>
          <a:graphic>
            <a:graphicData uri="http://schemas.microsoft.com/office/drawing/2010/slicer">
              <sle:slicer xmlns:sle="http://schemas.microsoft.com/office/drawing/2010/slicer" name="منصة البيع  1"/>
            </a:graphicData>
          </a:graphic>
        </xdr:graphicFrame>
      </mc:Choice>
      <mc:Fallback xmlns="">
        <xdr:sp macro="" textlink="">
          <xdr:nvSpPr>
            <xdr:cNvPr id="0" name=""/>
            <xdr:cNvSpPr>
              <a:spLocks noTextEdit="1"/>
            </xdr:cNvSpPr>
          </xdr:nvSpPr>
          <xdr:spPr>
            <a:xfrm>
              <a:off x="829235" y="18135600"/>
              <a:ext cx="14537765" cy="1447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8120743</xdr:colOff>
      <xdr:row>90</xdr:row>
      <xdr:rowOff>76200</xdr:rowOff>
    </xdr:from>
    <xdr:to>
      <xdr:col>19</xdr:col>
      <xdr:colOff>1295400</xdr:colOff>
      <xdr:row>163</xdr:row>
      <xdr:rowOff>76200</xdr:rowOff>
    </xdr:to>
    <xdr:sp macro="" textlink="">
      <xdr:nvSpPr>
        <xdr:cNvPr id="27" name="Rectangle: Rounded Corners 26">
          <a:extLst>
            <a:ext uri="{FF2B5EF4-FFF2-40B4-BE49-F238E27FC236}">
              <a16:creationId xmlns:a16="http://schemas.microsoft.com/office/drawing/2014/main" id="{EDA8BCD0-71F9-329B-6DDB-D693B0B05E24}"/>
            </a:ext>
          </a:extLst>
        </xdr:cNvPr>
        <xdr:cNvSpPr/>
      </xdr:nvSpPr>
      <xdr:spPr>
        <a:xfrm>
          <a:off x="15740743" y="13792200"/>
          <a:ext cx="30512657" cy="110490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9114543</xdr:colOff>
      <xdr:row>103</xdr:row>
      <xdr:rowOff>45890</xdr:rowOff>
    </xdr:from>
    <xdr:to>
      <xdr:col>19</xdr:col>
      <xdr:colOff>416857</xdr:colOff>
      <xdr:row>154</xdr:row>
      <xdr:rowOff>121024</xdr:rowOff>
    </xdr:to>
    <xdr:graphicFrame macro="">
      <xdr:nvGraphicFramePr>
        <xdr:cNvPr id="14" name="Chart 13">
          <a:extLst>
            <a:ext uri="{FF2B5EF4-FFF2-40B4-BE49-F238E27FC236}">
              <a16:creationId xmlns:a16="http://schemas.microsoft.com/office/drawing/2014/main" id="{BAAC70C9-213B-4D4A-8EB4-3B42C3873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8490856</xdr:colOff>
      <xdr:row>0</xdr:row>
      <xdr:rowOff>0</xdr:rowOff>
    </xdr:from>
    <xdr:to>
      <xdr:col>168</xdr:col>
      <xdr:colOff>381000</xdr:colOff>
      <xdr:row>28</xdr:row>
      <xdr:rowOff>76200</xdr:rowOff>
    </xdr:to>
    <xdr:sp macro="" textlink="">
      <xdr:nvSpPr>
        <xdr:cNvPr id="23" name="Rectangle: Rounded Corners 22">
          <a:extLst>
            <a:ext uri="{FF2B5EF4-FFF2-40B4-BE49-F238E27FC236}">
              <a16:creationId xmlns:a16="http://schemas.microsoft.com/office/drawing/2014/main" id="{4646A326-1B31-D30D-613A-AC7E3A4EC45A}"/>
            </a:ext>
          </a:extLst>
        </xdr:cNvPr>
        <xdr:cNvSpPr/>
      </xdr:nvSpPr>
      <xdr:spPr>
        <a:xfrm>
          <a:off x="16110856" y="0"/>
          <a:ext cx="123716144" cy="43434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3900" b="1">
              <a:solidFill>
                <a:srgbClr val="FF0000"/>
              </a:solidFill>
            </a:rPr>
            <a:t>Misuo Sales Dashboard</a:t>
          </a:r>
        </a:p>
      </xdr:txBody>
    </xdr:sp>
    <xdr:clientData/>
  </xdr:twoCellAnchor>
  <xdr:twoCellAnchor editAs="oneCell">
    <xdr:from>
      <xdr:col>0</xdr:col>
      <xdr:colOff>838200</xdr:colOff>
      <xdr:row>217</xdr:row>
      <xdr:rowOff>104139</xdr:rowOff>
    </xdr:from>
    <xdr:to>
      <xdr:col>5</xdr:col>
      <xdr:colOff>7486650</xdr:colOff>
      <xdr:row>309</xdr:row>
      <xdr:rowOff>133350</xdr:rowOff>
    </xdr:to>
    <mc:AlternateContent xmlns:mc="http://schemas.openxmlformats.org/markup-compatibility/2006" xmlns:a14="http://schemas.microsoft.com/office/drawing/2010/main">
      <mc:Choice Requires="a14">
        <xdr:graphicFrame macro="">
          <xdr:nvGraphicFramePr>
            <xdr:cNvPr id="17" name="المحافظة  1">
              <a:extLst>
                <a:ext uri="{FF2B5EF4-FFF2-40B4-BE49-F238E27FC236}">
                  <a16:creationId xmlns:a16="http://schemas.microsoft.com/office/drawing/2014/main" id="{288784C9-20E5-4DB9-9F01-06BC58FB6FD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المحافظة  1"/>
            </a:graphicData>
          </a:graphic>
        </xdr:graphicFrame>
      </mc:Choice>
      <mc:Fallback xmlns="">
        <xdr:sp macro="" textlink="">
          <xdr:nvSpPr>
            <xdr:cNvPr id="0" name=""/>
            <xdr:cNvSpPr>
              <a:spLocks noTextEdit="1"/>
            </xdr:cNvSpPr>
          </xdr:nvSpPr>
          <xdr:spPr>
            <a:xfrm>
              <a:off x="838200" y="33098739"/>
              <a:ext cx="14268450" cy="14050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62</xdr:col>
      <xdr:colOff>571500</xdr:colOff>
      <xdr:row>33</xdr:row>
      <xdr:rowOff>127000</xdr:rowOff>
    </xdr:from>
    <xdr:to>
      <xdr:col>106</xdr:col>
      <xdr:colOff>0</xdr:colOff>
      <xdr:row>50</xdr:row>
      <xdr:rowOff>0</xdr:rowOff>
    </xdr:to>
    <xdr:sp macro="" textlink="">
      <xdr:nvSpPr>
        <xdr:cNvPr id="25" name="TextBox 24">
          <a:extLst>
            <a:ext uri="{FF2B5EF4-FFF2-40B4-BE49-F238E27FC236}">
              <a16:creationId xmlns:a16="http://schemas.microsoft.com/office/drawing/2014/main" id="{9536CBA1-4FC9-10C3-9E0E-2BB57D9E0878}"/>
            </a:ext>
          </a:extLst>
        </xdr:cNvPr>
        <xdr:cNvSpPr txBox="1"/>
      </xdr:nvSpPr>
      <xdr:spPr>
        <a:xfrm>
          <a:off x="75399900" y="5156200"/>
          <a:ext cx="26250900" cy="24638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9900" b="1">
              <a:solidFill>
                <a:srgbClr val="FF0000"/>
              </a:solidFill>
              <a:latin typeface="+mn-lt"/>
              <a:ea typeface="+mn-ea"/>
              <a:cs typeface="+mn-cs"/>
            </a:rPr>
            <a:t>Avg</a:t>
          </a:r>
          <a:r>
            <a:rPr lang="en-US" sz="19900" b="1" baseline="0">
              <a:solidFill>
                <a:srgbClr val="FF0000"/>
              </a:solidFill>
              <a:latin typeface="+mn-lt"/>
              <a:ea typeface="+mn-ea"/>
              <a:cs typeface="+mn-cs"/>
            </a:rPr>
            <a:t> </a:t>
          </a:r>
          <a:r>
            <a:rPr lang="en-US" sz="19900" b="1">
              <a:solidFill>
                <a:srgbClr val="FF0000"/>
              </a:solidFill>
              <a:latin typeface="+mn-lt"/>
              <a:ea typeface="+mn-ea"/>
              <a:cs typeface="+mn-cs"/>
            </a:rPr>
            <a:t>Sales</a:t>
          </a:r>
        </a:p>
      </xdr:txBody>
    </xdr:sp>
    <xdr:clientData/>
  </xdr:twoCellAnchor>
  <xdr:twoCellAnchor>
    <xdr:from>
      <xdr:col>82</xdr:col>
      <xdr:colOff>83039</xdr:colOff>
      <xdr:row>57</xdr:row>
      <xdr:rowOff>28333</xdr:rowOff>
    </xdr:from>
    <xdr:to>
      <xdr:col>90</xdr:col>
      <xdr:colOff>310661</xdr:colOff>
      <xdr:row>66</xdr:row>
      <xdr:rowOff>76201</xdr:rowOff>
    </xdr:to>
    <xdr:sp macro="" textlink="pivot!AN8">
      <xdr:nvSpPr>
        <xdr:cNvPr id="26" name="TextBox 25">
          <a:extLst>
            <a:ext uri="{FF2B5EF4-FFF2-40B4-BE49-F238E27FC236}">
              <a16:creationId xmlns:a16="http://schemas.microsoft.com/office/drawing/2014/main" id="{80D8E51E-D2DE-9253-515E-50622782161C}"/>
            </a:ext>
          </a:extLst>
        </xdr:cNvPr>
        <xdr:cNvSpPr txBox="1"/>
      </xdr:nvSpPr>
      <xdr:spPr>
        <a:xfrm>
          <a:off x="87103439" y="8715133"/>
          <a:ext cx="5104422" cy="1419468"/>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66590D-98CF-4AF5-B8E5-844D6D1E9B59}" type="TxLink">
            <a:rPr lang="en-US" sz="9600" b="0" i="0" u="none" strike="noStrike">
              <a:solidFill>
                <a:schemeClr val="bg1"/>
              </a:solidFill>
              <a:latin typeface="Calibri"/>
              <a:ea typeface="Calibri"/>
              <a:cs typeface="Calibri"/>
            </a:rPr>
            <a:pPr/>
            <a:t> 18,667 </a:t>
          </a:fld>
          <a:endParaRPr lang="en-US" sz="9600">
            <a:solidFill>
              <a:schemeClr val="bg1"/>
            </a:solidFill>
          </a:endParaRPr>
        </a:p>
      </xdr:txBody>
    </xdr:sp>
    <xdr:clientData/>
  </xdr:twoCellAnchor>
  <xdr:twoCellAnchor editAs="oneCell">
    <xdr:from>
      <xdr:col>0</xdr:col>
      <xdr:colOff>914400</xdr:colOff>
      <xdr:row>307</xdr:row>
      <xdr:rowOff>127000</xdr:rowOff>
    </xdr:from>
    <xdr:to>
      <xdr:col>5</xdr:col>
      <xdr:colOff>7556500</xdr:colOff>
      <xdr:row>372</xdr:row>
      <xdr:rowOff>76200</xdr:rowOff>
    </xdr:to>
    <mc:AlternateContent xmlns:mc="http://schemas.openxmlformats.org/markup-compatibility/2006" xmlns:a14="http://schemas.microsoft.com/office/drawing/2010/main">
      <mc:Choice Requires="a14">
        <xdr:graphicFrame macro="">
          <xdr:nvGraphicFramePr>
            <xdr:cNvPr id="29" name="المسئول عن التسليم 1">
              <a:extLst>
                <a:ext uri="{FF2B5EF4-FFF2-40B4-BE49-F238E27FC236}">
                  <a16:creationId xmlns:a16="http://schemas.microsoft.com/office/drawing/2014/main" id="{F5D571D6-BA9A-4968-A93E-44D718531AAF}"/>
                </a:ext>
              </a:extLst>
            </xdr:cNvPr>
            <xdr:cNvGraphicFramePr/>
          </xdr:nvGraphicFramePr>
          <xdr:xfrm>
            <a:off x="0" y="0"/>
            <a:ext cx="0" cy="0"/>
          </xdr:xfrm>
          <a:graphic>
            <a:graphicData uri="http://schemas.microsoft.com/office/drawing/2010/slicer">
              <sle:slicer xmlns:sle="http://schemas.microsoft.com/office/drawing/2010/slicer" name="المسئول عن التسليم 1"/>
            </a:graphicData>
          </a:graphic>
        </xdr:graphicFrame>
      </mc:Choice>
      <mc:Fallback xmlns="">
        <xdr:sp macro="" textlink="">
          <xdr:nvSpPr>
            <xdr:cNvPr id="0" name=""/>
            <xdr:cNvSpPr>
              <a:spLocks noTextEdit="1"/>
            </xdr:cNvSpPr>
          </xdr:nvSpPr>
          <xdr:spPr>
            <a:xfrm>
              <a:off x="914400" y="46837600"/>
              <a:ext cx="14262100" cy="985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61</xdr:col>
      <xdr:colOff>228599</xdr:colOff>
      <xdr:row>88</xdr:row>
      <xdr:rowOff>76200</xdr:rowOff>
    </xdr:from>
    <xdr:to>
      <xdr:col>107</xdr:col>
      <xdr:colOff>304800</xdr:colOff>
      <xdr:row>161</xdr:row>
      <xdr:rowOff>0</xdr:rowOff>
    </xdr:to>
    <xdr:sp macro="" textlink="">
      <xdr:nvSpPr>
        <xdr:cNvPr id="45" name="Rectangle: Rounded Corners 44">
          <a:extLst>
            <a:ext uri="{FF2B5EF4-FFF2-40B4-BE49-F238E27FC236}">
              <a16:creationId xmlns:a16="http://schemas.microsoft.com/office/drawing/2014/main" id="{91223AE4-223E-4252-8E39-913BF34286EE}"/>
            </a:ext>
          </a:extLst>
        </xdr:cNvPr>
        <xdr:cNvSpPr/>
      </xdr:nvSpPr>
      <xdr:spPr>
        <a:xfrm>
          <a:off x="74447399" y="13487400"/>
          <a:ext cx="28117801" cy="109728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8763000</xdr:colOff>
      <xdr:row>175</xdr:row>
      <xdr:rowOff>139324</xdr:rowOff>
    </xdr:from>
    <xdr:to>
      <xdr:col>17</xdr:col>
      <xdr:colOff>304800</xdr:colOff>
      <xdr:row>256</xdr:row>
      <xdr:rowOff>76200</xdr:rowOff>
    </xdr:to>
    <xdr:graphicFrame macro="">
      <xdr:nvGraphicFramePr>
        <xdr:cNvPr id="30" name="Chart 29">
          <a:extLst>
            <a:ext uri="{FF2B5EF4-FFF2-40B4-BE49-F238E27FC236}">
              <a16:creationId xmlns:a16="http://schemas.microsoft.com/office/drawing/2014/main" id="{52159C85-F690-472D-962D-E173F60B9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64</xdr:col>
      <xdr:colOff>76200</xdr:colOff>
      <xdr:row>93</xdr:row>
      <xdr:rowOff>0</xdr:rowOff>
    </xdr:from>
    <xdr:to>
      <xdr:col>106</xdr:col>
      <xdr:colOff>0</xdr:colOff>
      <xdr:row>149</xdr:row>
      <xdr:rowOff>76201</xdr:rowOff>
    </xdr:to>
    <xdr:graphicFrame macro="">
      <xdr:nvGraphicFramePr>
        <xdr:cNvPr id="32" name="Chart 31">
          <a:extLst>
            <a:ext uri="{FF2B5EF4-FFF2-40B4-BE49-F238E27FC236}">
              <a16:creationId xmlns:a16="http://schemas.microsoft.com/office/drawing/2014/main" id="{BCF43F20-FF09-4392-905B-FB413BD76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8153400</xdr:colOff>
      <xdr:row>269</xdr:row>
      <xdr:rowOff>76200</xdr:rowOff>
    </xdr:from>
    <xdr:to>
      <xdr:col>64</xdr:col>
      <xdr:colOff>457200</xdr:colOff>
      <xdr:row>379</xdr:row>
      <xdr:rowOff>0</xdr:rowOff>
    </xdr:to>
    <xdr:sp macro="" textlink="">
      <xdr:nvSpPr>
        <xdr:cNvPr id="44" name="Rectangle: Rounded Corners 43">
          <a:extLst>
            <a:ext uri="{FF2B5EF4-FFF2-40B4-BE49-F238E27FC236}">
              <a16:creationId xmlns:a16="http://schemas.microsoft.com/office/drawing/2014/main" id="{4599158B-8FE2-E6D1-03B8-D9F9E0E20F9A}"/>
            </a:ext>
          </a:extLst>
        </xdr:cNvPr>
        <xdr:cNvSpPr/>
      </xdr:nvSpPr>
      <xdr:spPr>
        <a:xfrm>
          <a:off x="15773400" y="40995600"/>
          <a:ext cx="60731400" cy="166878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109</xdr:col>
      <xdr:colOff>533400</xdr:colOff>
      <xdr:row>43</xdr:row>
      <xdr:rowOff>0</xdr:rowOff>
    </xdr:from>
    <xdr:to>
      <xdr:col>137</xdr:col>
      <xdr:colOff>381000</xdr:colOff>
      <xdr:row>360</xdr:row>
      <xdr:rowOff>0</xdr:rowOff>
    </xdr:to>
    <xdr:graphicFrame macro="">
      <xdr:nvGraphicFramePr>
        <xdr:cNvPr id="36" name="Chart 35">
          <a:extLst>
            <a:ext uri="{FF2B5EF4-FFF2-40B4-BE49-F238E27FC236}">
              <a16:creationId xmlns:a16="http://schemas.microsoft.com/office/drawing/2014/main" id="{C17D9973-BAE1-484D-A561-1EDB75A1C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113</xdr:col>
      <xdr:colOff>495300</xdr:colOff>
      <xdr:row>45</xdr:row>
      <xdr:rowOff>0</xdr:rowOff>
    </xdr:from>
    <xdr:to>
      <xdr:col>138</xdr:col>
      <xdr:colOff>533400</xdr:colOff>
      <xdr:row>65</xdr:row>
      <xdr:rowOff>114300</xdr:rowOff>
    </xdr:to>
    <xdr:sp macro="" textlink="">
      <xdr:nvSpPr>
        <xdr:cNvPr id="39" name="TextBox 38">
          <a:extLst>
            <a:ext uri="{FF2B5EF4-FFF2-40B4-BE49-F238E27FC236}">
              <a16:creationId xmlns:a16="http://schemas.microsoft.com/office/drawing/2014/main" id="{67516236-8A73-15CE-35F0-54AD53AF96EC}"/>
            </a:ext>
          </a:extLst>
        </xdr:cNvPr>
        <xdr:cNvSpPr txBox="1"/>
      </xdr:nvSpPr>
      <xdr:spPr>
        <a:xfrm>
          <a:off x="106413300" y="8572500"/>
          <a:ext cx="15278100" cy="39243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600" b="1" i="0" u="none" strike="noStrike" kern="1200" spc="0" baseline="0">
              <a:solidFill>
                <a:srgbClr val="FF0000"/>
              </a:solidFill>
              <a:latin typeface="+mn-lt"/>
              <a:ea typeface="+mn-ea"/>
              <a:cs typeface="+mn-cs"/>
            </a:rPr>
            <a:t>Sales By Color</a:t>
          </a:r>
          <a:r>
            <a:rPr lang="ar-EG" sz="16600" b="1" i="0" u="none" strike="noStrike" kern="1200" spc="0" baseline="0">
              <a:solidFill>
                <a:srgbClr val="FF0000"/>
              </a:solidFill>
              <a:latin typeface="+mn-lt"/>
              <a:ea typeface="+mn-ea"/>
              <a:cs typeface="+mn-cs"/>
            </a:rPr>
            <a:t>   </a:t>
          </a:r>
          <a:endParaRPr lang="en-US" sz="16600" b="1" i="0" u="none" strike="noStrike" kern="1200" spc="0" baseline="0">
            <a:solidFill>
              <a:srgbClr val="FF0000"/>
            </a:solidFill>
            <a:latin typeface="+mn-lt"/>
            <a:ea typeface="+mn-ea"/>
            <a:cs typeface="+mn-cs"/>
          </a:endParaRPr>
        </a:p>
      </xdr:txBody>
    </xdr:sp>
    <xdr:clientData/>
  </xdr:twoCellAnchor>
  <xdr:twoCellAnchor>
    <xdr:from>
      <xdr:col>65</xdr:col>
      <xdr:colOff>457200</xdr:colOff>
      <xdr:row>168</xdr:row>
      <xdr:rowOff>76200</xdr:rowOff>
    </xdr:from>
    <xdr:to>
      <xdr:col>106</xdr:col>
      <xdr:colOff>228600</xdr:colOff>
      <xdr:row>384</xdr:row>
      <xdr:rowOff>76200</xdr:rowOff>
    </xdr:to>
    <xdr:sp macro="" textlink="">
      <xdr:nvSpPr>
        <xdr:cNvPr id="42" name="Rectangle: Rounded Corners 41">
          <a:extLst>
            <a:ext uri="{FF2B5EF4-FFF2-40B4-BE49-F238E27FC236}">
              <a16:creationId xmlns:a16="http://schemas.microsoft.com/office/drawing/2014/main" id="{F8BEB64E-B8CE-231B-AC30-F4B851B7A3BB}"/>
            </a:ext>
          </a:extLst>
        </xdr:cNvPr>
        <xdr:cNvSpPr/>
      </xdr:nvSpPr>
      <xdr:spPr>
        <a:xfrm>
          <a:off x="77114400" y="25603200"/>
          <a:ext cx="24765000" cy="329184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13085886</xdr:colOff>
      <xdr:row>277</xdr:row>
      <xdr:rowOff>61791</xdr:rowOff>
    </xdr:from>
    <xdr:to>
      <xdr:col>59</xdr:col>
      <xdr:colOff>24423</xdr:colOff>
      <xdr:row>371</xdr:row>
      <xdr:rowOff>76200</xdr:rowOff>
    </xdr:to>
    <xdr:graphicFrame macro="">
      <xdr:nvGraphicFramePr>
        <xdr:cNvPr id="40" name="Chart 39">
          <a:extLst>
            <a:ext uri="{FF2B5EF4-FFF2-40B4-BE49-F238E27FC236}">
              <a16:creationId xmlns:a16="http://schemas.microsoft.com/office/drawing/2014/main" id="{D974063F-54D1-460B-A0BA-40B736CA1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67</xdr:col>
      <xdr:colOff>304800</xdr:colOff>
      <xdr:row>204</xdr:row>
      <xdr:rowOff>0</xdr:rowOff>
    </xdr:from>
    <xdr:to>
      <xdr:col>106</xdr:col>
      <xdr:colOff>0</xdr:colOff>
      <xdr:row>375</xdr:row>
      <xdr:rowOff>0</xdr:rowOff>
    </xdr:to>
    <xdr:graphicFrame macro="">
      <xdr:nvGraphicFramePr>
        <xdr:cNvPr id="41" name="Chart 40">
          <a:extLst>
            <a:ext uri="{FF2B5EF4-FFF2-40B4-BE49-F238E27FC236}">
              <a16:creationId xmlns:a16="http://schemas.microsoft.com/office/drawing/2014/main" id="{E90756F2-15C9-45C4-BE5F-12DDA164C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68</xdr:col>
      <xdr:colOff>381000</xdr:colOff>
      <xdr:row>179</xdr:row>
      <xdr:rowOff>0</xdr:rowOff>
    </xdr:from>
    <xdr:to>
      <xdr:col>105</xdr:col>
      <xdr:colOff>152400</xdr:colOff>
      <xdr:row>199</xdr:row>
      <xdr:rowOff>76200</xdr:rowOff>
    </xdr:to>
    <xdr:sp macro="" textlink="">
      <xdr:nvSpPr>
        <xdr:cNvPr id="43" name="TextBox 42">
          <a:extLst>
            <a:ext uri="{FF2B5EF4-FFF2-40B4-BE49-F238E27FC236}">
              <a16:creationId xmlns:a16="http://schemas.microsoft.com/office/drawing/2014/main" id="{BF71CF3E-3B1A-E7BC-EF0E-93571FB37CC2}"/>
            </a:ext>
          </a:extLst>
        </xdr:cNvPr>
        <xdr:cNvSpPr txBox="1"/>
      </xdr:nvSpPr>
      <xdr:spPr>
        <a:xfrm>
          <a:off x="78867000" y="27203400"/>
          <a:ext cx="22326600" cy="31242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600" b="1" i="0" u="none" strike="noStrike" kern="1200" spc="0" baseline="0">
              <a:solidFill>
                <a:srgbClr val="FF0000"/>
              </a:solidFill>
              <a:latin typeface="+mn-lt"/>
              <a:ea typeface="+mn-ea"/>
              <a:cs typeface="+mn-cs"/>
            </a:rPr>
            <a:t>Sales By Country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525846</xdr:colOff>
      <xdr:row>8</xdr:row>
      <xdr:rowOff>8973</xdr:rowOff>
    </xdr:from>
    <xdr:to>
      <xdr:col>16</xdr:col>
      <xdr:colOff>55756</xdr:colOff>
      <xdr:row>18</xdr:row>
      <xdr:rowOff>119509</xdr:rowOff>
    </xdr:to>
    <xdr:graphicFrame macro="">
      <xdr:nvGraphicFramePr>
        <xdr:cNvPr id="3" name="Chart 2">
          <a:extLst>
            <a:ext uri="{FF2B5EF4-FFF2-40B4-BE49-F238E27FC236}">
              <a16:creationId xmlns:a16="http://schemas.microsoft.com/office/drawing/2014/main" id="{A925B690-A846-F744-5FFD-A73B5710D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62024</xdr:rowOff>
    </xdr:from>
    <xdr:to>
      <xdr:col>4</xdr:col>
      <xdr:colOff>544919</xdr:colOff>
      <xdr:row>18</xdr:row>
      <xdr:rowOff>0</xdr:rowOff>
    </xdr:to>
    <xdr:graphicFrame macro="">
      <xdr:nvGraphicFramePr>
        <xdr:cNvPr id="4" name="Chart 3">
          <a:extLst>
            <a:ext uri="{FF2B5EF4-FFF2-40B4-BE49-F238E27FC236}">
              <a16:creationId xmlns:a16="http://schemas.microsoft.com/office/drawing/2014/main" id="{1EE59025-1D41-6FEE-D3AA-A1CD16EFE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235009</xdr:colOff>
      <xdr:row>8</xdr:row>
      <xdr:rowOff>169770</xdr:rowOff>
    </xdr:from>
    <xdr:to>
      <xdr:col>25</xdr:col>
      <xdr:colOff>617826</xdr:colOff>
      <xdr:row>18</xdr:row>
      <xdr:rowOff>81463</xdr:rowOff>
    </xdr:to>
    <xdr:graphicFrame macro="">
      <xdr:nvGraphicFramePr>
        <xdr:cNvPr id="5" name="Chart 4">
          <a:extLst>
            <a:ext uri="{FF2B5EF4-FFF2-40B4-BE49-F238E27FC236}">
              <a16:creationId xmlns:a16="http://schemas.microsoft.com/office/drawing/2014/main" id="{517A5ED6-49B8-0776-1D0E-46FAA859F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13</xdr:col>
      <xdr:colOff>345130</xdr:colOff>
      <xdr:row>20</xdr:row>
      <xdr:rowOff>34012</xdr:rowOff>
    </xdr:from>
    <xdr:ext cx="2308319" cy="1120783"/>
    <mc:AlternateContent xmlns:mc="http://schemas.openxmlformats.org/markup-compatibility/2006" xmlns:a14="http://schemas.microsoft.com/office/drawing/2010/main">
      <mc:Choice Requires="a14">
        <xdr:graphicFrame macro="">
          <xdr:nvGraphicFramePr>
            <xdr:cNvPr id="7" name="الصنف">
              <a:extLst>
                <a:ext uri="{FF2B5EF4-FFF2-40B4-BE49-F238E27FC236}">
                  <a16:creationId xmlns:a16="http://schemas.microsoft.com/office/drawing/2014/main" id="{33BAE575-41EE-A2D3-10E0-5F2B26760509}"/>
                </a:ext>
              </a:extLst>
            </xdr:cNvPr>
            <xdr:cNvGraphicFramePr/>
          </xdr:nvGraphicFramePr>
          <xdr:xfrm>
            <a:off x="0" y="0"/>
            <a:ext cx="0" cy="0"/>
          </xdr:xfrm>
          <a:graphic>
            <a:graphicData uri="http://schemas.microsoft.com/office/drawing/2010/slicer">
              <sle:slicer xmlns:sle="http://schemas.microsoft.com/office/drawing/2010/slicer" name="الصنف"/>
            </a:graphicData>
          </a:graphic>
        </xdr:graphicFrame>
      </mc:Choice>
      <mc:Fallback xmlns="">
        <xdr:sp macro="" textlink="">
          <xdr:nvSpPr>
            <xdr:cNvPr id="0" name=""/>
            <xdr:cNvSpPr>
              <a:spLocks noTextEdit="1"/>
            </xdr:cNvSpPr>
          </xdr:nvSpPr>
          <xdr:spPr>
            <a:xfrm>
              <a:off x="8829350" y="3751085"/>
              <a:ext cx="2321870" cy="1136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93857</xdr:colOff>
      <xdr:row>18</xdr:row>
      <xdr:rowOff>6133</xdr:rowOff>
    </xdr:from>
    <xdr:ext cx="1825282" cy="2432128"/>
    <mc:AlternateContent xmlns:mc="http://schemas.openxmlformats.org/markup-compatibility/2006" xmlns:a14="http://schemas.microsoft.com/office/drawing/2010/main">
      <mc:Choice Requires="a14">
        <xdr:graphicFrame macro="">
          <xdr:nvGraphicFramePr>
            <xdr:cNvPr id="6" name="منصة البيع ">
              <a:extLst>
                <a:ext uri="{FF2B5EF4-FFF2-40B4-BE49-F238E27FC236}">
                  <a16:creationId xmlns:a16="http://schemas.microsoft.com/office/drawing/2014/main" id="{032B67BC-994D-C28A-4FF2-C74F4578FD23}"/>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93857" y="3334280"/>
              <a:ext cx="1827570" cy="2454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29</xdr:col>
      <xdr:colOff>184896</xdr:colOff>
      <xdr:row>9</xdr:row>
      <xdr:rowOff>84044</xdr:rowOff>
    </xdr:from>
    <xdr:to>
      <xdr:col>33</xdr:col>
      <xdr:colOff>291353</xdr:colOff>
      <xdr:row>22</xdr:row>
      <xdr:rowOff>108137</xdr:rowOff>
    </xdr:to>
    <xdr:graphicFrame macro="">
      <xdr:nvGraphicFramePr>
        <xdr:cNvPr id="9" name="Chart 8">
          <a:extLst>
            <a:ext uri="{FF2B5EF4-FFF2-40B4-BE49-F238E27FC236}">
              <a16:creationId xmlns:a16="http://schemas.microsoft.com/office/drawing/2014/main" id="{F1B469FC-10B5-AB10-7933-7A37B5ECF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9</xdr:col>
      <xdr:colOff>449357</xdr:colOff>
      <xdr:row>28</xdr:row>
      <xdr:rowOff>177052</xdr:rowOff>
    </xdr:from>
    <xdr:ext cx="1818214" cy="2442840"/>
    <mc:AlternateContent xmlns:mc="http://schemas.openxmlformats.org/markup-compatibility/2006" xmlns:a14="http://schemas.microsoft.com/office/drawing/2010/main">
      <mc:Choice Requires="a14">
        <xdr:graphicFrame macro="">
          <xdr:nvGraphicFramePr>
            <xdr:cNvPr id="10" name="المحافظة ">
              <a:extLst>
                <a:ext uri="{FF2B5EF4-FFF2-40B4-BE49-F238E27FC236}">
                  <a16:creationId xmlns:a16="http://schemas.microsoft.com/office/drawing/2014/main" id="{B0E292A6-A54F-362F-4DE6-6CF0EC25F552}"/>
                </a:ext>
              </a:extLst>
            </xdr:cNvPr>
            <xdr:cNvGraphicFramePr/>
          </xdr:nvGraphicFramePr>
          <xdr:xfrm>
            <a:off x="0" y="0"/>
            <a:ext cx="0" cy="0"/>
          </xdr:xfrm>
          <a:graphic>
            <a:graphicData uri="http://schemas.microsoft.com/office/drawing/2010/slicer">
              <sle:slicer xmlns:sle="http://schemas.microsoft.com/office/drawing/2010/slicer" name="المحافظة "/>
            </a:graphicData>
          </a:graphic>
        </xdr:graphicFrame>
      </mc:Choice>
      <mc:Fallback xmlns="">
        <xdr:sp macro="" textlink="">
          <xdr:nvSpPr>
            <xdr:cNvPr id="0" name=""/>
            <xdr:cNvSpPr>
              <a:spLocks noTextEdit="1"/>
            </xdr:cNvSpPr>
          </xdr:nvSpPr>
          <xdr:spPr>
            <a:xfrm>
              <a:off x="5576048" y="535417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41</xdr:col>
      <xdr:colOff>245483</xdr:colOff>
      <xdr:row>11</xdr:row>
      <xdr:rowOff>73660</xdr:rowOff>
    </xdr:from>
    <xdr:ext cx="1838005" cy="2521280"/>
    <mc:AlternateContent xmlns:mc="http://schemas.openxmlformats.org/markup-compatibility/2006" xmlns:a14="http://schemas.microsoft.com/office/drawing/2010/main">
      <mc:Choice Requires="a14">
        <xdr:graphicFrame macro="">
          <xdr:nvGraphicFramePr>
            <xdr:cNvPr id="11" name="المسئول عن التسليم">
              <a:extLst>
                <a:ext uri="{FF2B5EF4-FFF2-40B4-BE49-F238E27FC236}">
                  <a16:creationId xmlns:a16="http://schemas.microsoft.com/office/drawing/2014/main" id="{D0D4E9D9-696D-F112-9984-B5F7AE35A84C}"/>
                </a:ext>
              </a:extLst>
            </xdr:cNvPr>
            <xdr:cNvGraphicFramePr/>
          </xdr:nvGraphicFramePr>
          <xdr:xfrm>
            <a:off x="0" y="0"/>
            <a:ext cx="0" cy="0"/>
          </xdr:xfrm>
          <a:graphic>
            <a:graphicData uri="http://schemas.microsoft.com/office/drawing/2010/slicer">
              <sle:slicer xmlns:sle="http://schemas.microsoft.com/office/drawing/2010/slicer" name="المسئول عن التسليم"/>
            </a:graphicData>
          </a:graphic>
        </xdr:graphicFrame>
      </mc:Choice>
      <mc:Fallback xmlns="">
        <xdr:sp macro="" textlink="">
          <xdr:nvSpPr>
            <xdr:cNvPr id="0" name=""/>
            <xdr:cNvSpPr>
              <a:spLocks noTextEdit="1"/>
            </xdr:cNvSpPr>
          </xdr:nvSpPr>
          <xdr:spPr>
            <a:xfrm>
              <a:off x="30419189" y="204589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44</xdr:col>
      <xdr:colOff>298823</xdr:colOff>
      <xdr:row>10</xdr:row>
      <xdr:rowOff>21664</xdr:rowOff>
    </xdr:from>
    <xdr:to>
      <xdr:col>45</xdr:col>
      <xdr:colOff>1445558</xdr:colOff>
      <xdr:row>25</xdr:row>
      <xdr:rowOff>75452</xdr:rowOff>
    </xdr:to>
    <xdr:graphicFrame macro="">
      <xdr:nvGraphicFramePr>
        <xdr:cNvPr id="12" name="Chart 11">
          <a:extLst>
            <a:ext uri="{FF2B5EF4-FFF2-40B4-BE49-F238E27FC236}">
              <a16:creationId xmlns:a16="http://schemas.microsoft.com/office/drawing/2014/main" id="{017C88E9-7270-3A33-2E79-F753735A2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127000</xdr:colOff>
      <xdr:row>8</xdr:row>
      <xdr:rowOff>156136</xdr:rowOff>
    </xdr:from>
    <xdr:to>
      <xdr:col>49</xdr:col>
      <xdr:colOff>339911</xdr:colOff>
      <xdr:row>24</xdr:row>
      <xdr:rowOff>30630</xdr:rowOff>
    </xdr:to>
    <xdr:graphicFrame macro="">
      <xdr:nvGraphicFramePr>
        <xdr:cNvPr id="13" name="Chart 12">
          <a:extLst>
            <a:ext uri="{FF2B5EF4-FFF2-40B4-BE49-F238E27FC236}">
              <a16:creationId xmlns:a16="http://schemas.microsoft.com/office/drawing/2014/main" id="{47401C4F-0017-827C-1E76-A83FE7959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347381</xdr:colOff>
      <xdr:row>10</xdr:row>
      <xdr:rowOff>126254</xdr:rowOff>
    </xdr:from>
    <xdr:to>
      <xdr:col>19</xdr:col>
      <xdr:colOff>336176</xdr:colOff>
      <xdr:row>26</xdr:row>
      <xdr:rowOff>748</xdr:rowOff>
    </xdr:to>
    <xdr:graphicFrame macro="">
      <xdr:nvGraphicFramePr>
        <xdr:cNvPr id="14" name="Chart 13">
          <a:extLst>
            <a:ext uri="{FF2B5EF4-FFF2-40B4-BE49-F238E27FC236}">
              <a16:creationId xmlns:a16="http://schemas.microsoft.com/office/drawing/2014/main" id="{9A1FD317-4756-601C-F96B-AECE7710B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51</xdr:col>
      <xdr:colOff>70970</xdr:colOff>
      <xdr:row>11</xdr:row>
      <xdr:rowOff>36606</xdr:rowOff>
    </xdr:from>
    <xdr:to>
      <xdr:col>55</xdr:col>
      <xdr:colOff>82176</xdr:colOff>
      <xdr:row>27</xdr:row>
      <xdr:rowOff>97117</xdr:rowOff>
    </xdr:to>
    <xdr:graphicFrame macro="">
      <xdr:nvGraphicFramePr>
        <xdr:cNvPr id="15" name="Chart 14">
          <a:extLst>
            <a:ext uri="{FF2B5EF4-FFF2-40B4-BE49-F238E27FC236}">
              <a16:creationId xmlns:a16="http://schemas.microsoft.com/office/drawing/2014/main" id="{6C650FC4-9B13-4F95-3C7D-1BF560281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347383</xdr:colOff>
      <xdr:row>9</xdr:row>
      <xdr:rowOff>44077</xdr:rowOff>
    </xdr:from>
    <xdr:to>
      <xdr:col>13</xdr:col>
      <xdr:colOff>354853</xdr:colOff>
      <xdr:row>24</xdr:row>
      <xdr:rowOff>97865</xdr:rowOff>
    </xdr:to>
    <xdr:graphicFrame macro="">
      <xdr:nvGraphicFramePr>
        <xdr:cNvPr id="16" name="Chart 15">
          <a:extLst>
            <a:ext uri="{FF2B5EF4-FFF2-40B4-BE49-F238E27FC236}">
              <a16:creationId xmlns:a16="http://schemas.microsoft.com/office/drawing/2014/main" id="{1B1BB7D2-A603-D0B0-D08D-F169A691C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reen" refreshedDate="46292.971896875002" createdVersion="8" refreshedVersion="8" minRefreshableVersion="3" recordCount="127" xr:uid="{3BA06A11-F1FE-463E-B65F-ECE9C530B69A}">
  <cacheSource type="worksheet">
    <worksheetSource name="data"/>
  </cacheSource>
  <cacheFields count="27">
    <cacheField name="أسم العميل" numFmtId="0">
      <sharedItems containsBlank="1"/>
    </cacheField>
    <cacheField name="نوع العميل" numFmtId="0">
      <sharedItems containsBlank="1"/>
    </cacheField>
    <cacheField name="العنوان" numFmtId="0">
      <sharedItems containsBlank="1"/>
    </cacheField>
    <cacheField name="المحافظة " numFmtId="0">
      <sharedItems containsBlank="1" count="9">
        <s v="الجيزة"/>
        <s v="الإسكندرية"/>
        <s v="مطروح"/>
        <s v="البحر الأحمر"/>
        <m/>
        <s v="القاهرة"/>
        <s v="القليوبية"/>
        <s v="السويس"/>
        <s v="أسيوط"/>
      </sharedItems>
    </cacheField>
    <cacheField name="منصة البيع " numFmtId="0">
      <sharedItems containsBlank="1" count="9">
        <s v="هومزمارت"/>
        <s v="شيك هومز"/>
        <s v="فيسبوك"/>
        <s v="تاكى"/>
        <s v="اوسكار راتن"/>
        <s v="السويس"/>
        <s v="منزلى"/>
        <s v="كيمت"/>
        <m/>
      </sharedItems>
    </cacheField>
    <cacheField name="الاسم" numFmtId="0">
      <sharedItems containsBlank="1"/>
    </cacheField>
    <cacheField name="اللون المعدن" numFmtId="0">
      <sharedItems containsBlank="1"/>
    </cacheField>
    <cacheField name="لون القماش" numFmtId="0">
      <sharedItems containsBlank="1"/>
    </cacheField>
    <cacheField name="المنتج" numFmtId="0">
      <sharedItems containsBlank="1"/>
    </cacheField>
    <cacheField name="الصنف" numFmtId="0">
      <sharedItems containsBlank="1" count="4">
        <s v="سرير"/>
        <s v="ترابيزة"/>
        <m/>
        <s v="كنبه"/>
      </sharedItems>
    </cacheField>
    <cacheField name="النوع" numFmtId="0">
      <sharedItems containsBlank="1" count="18">
        <s v="منطبق"/>
        <s v="كيفنج"/>
        <s v="قهوه"/>
        <s v="نوفال"/>
        <s v="كنبه سرير"/>
        <s v="فردى"/>
        <s v="ركنه"/>
        <s v="سحاره"/>
        <s v="فردى خشب موسكى"/>
        <s v="كينج"/>
        <s v="فوتيه فنيسيا"/>
        <s v="اسبانى"/>
        <s v="فورجينا"/>
        <s v="ارفيل"/>
        <m/>
        <s v="كوين"/>
        <s v="ادوار"/>
        <s v="استيل"/>
      </sharedItems>
    </cacheField>
    <cacheField name="اللون" numFmtId="0">
      <sharedItems containsBlank="1" count="15">
        <s v="ابيض"/>
        <s v="اسود"/>
        <s v="ازرق"/>
        <m/>
        <s v="رمادى"/>
        <s v="اسود وبنى"/>
        <s v="ملون"/>
        <s v="بينك"/>
        <s v="نبيتى "/>
        <s v="الوان"/>
        <s v="بنفسجى"/>
        <s v="دهبي"/>
        <s v="اسود " u="1"/>
        <s v="اسزد" u="1"/>
        <s v="اسود، بيج" u="1"/>
      </sharedItems>
    </cacheField>
    <cacheField name="المقاس" numFmtId="0">
      <sharedItems containsBlank="1" containsMixedTypes="1" containsNumber="1" containsInteger="1" minValue="80" maxValue="160"/>
    </cacheField>
    <cacheField name="الكمية" numFmtId="0">
      <sharedItems containsString="0" containsBlank="1" containsNumber="1" containsInteger="1" minValue="1" maxValue="4"/>
    </cacheField>
    <cacheField name="سعر البيع " numFmtId="0">
      <sharedItems containsString="0" containsBlank="1" containsNumber="1" minValue="4020" maxValue="22000"/>
    </cacheField>
    <cacheField name="الاجمالي" numFmtId="0">
      <sharedItems containsString="0" containsBlank="1" containsNumber="1" minValue="0" maxValue="87996"/>
    </cacheField>
    <cacheField name="طريقة الدفع" numFmtId="0">
      <sharedItems containsBlank="1" count="5">
        <s v="مسبق الدفع"/>
        <s v="كاش"/>
        <s v="حساب شركه"/>
        <s v=""/>
        <m/>
      </sharedItems>
    </cacheField>
    <cacheField name="ميعاد الطلب" numFmtId="14">
      <sharedItems containsNonDate="0" containsDate="1" containsString="0" containsBlank="1" minDate="2024-07-27T00:00:00" maxDate="2024-12-15T00:00:00" count="56">
        <d v="2024-07-27T00:00:00"/>
        <d v="2024-07-28T00:00:00"/>
        <d v="2024-08-25T00:00:00"/>
        <d v="2024-08-16T00:00:00"/>
        <d v="2024-08-14T00:00:00"/>
        <d v="2024-08-17T00:00:00"/>
        <d v="2024-08-19T00:00:00"/>
        <m/>
        <d v="2024-09-01T00:00:00"/>
        <d v="2024-09-05T00:00:00"/>
        <d v="2024-09-04T00:00:00"/>
        <d v="2024-09-03T00:00:00"/>
        <d v="2024-09-06T00:00:00"/>
        <d v="2024-09-09T00:00:00"/>
        <d v="2024-09-12T00:00:00"/>
        <d v="2024-09-14T00:00:00"/>
        <d v="2024-09-13T00:00:00"/>
        <d v="2024-09-15T00:00:00"/>
        <d v="2024-09-16T00:00:00"/>
        <d v="2024-09-21T00:00:00"/>
        <d v="2024-09-23T00:00:00"/>
        <d v="2024-09-26T00:00:00"/>
        <d v="2024-09-29T00:00:00"/>
        <d v="2024-10-01T00:00:00"/>
        <d v="2024-10-03T00:00:00"/>
        <d v="2024-10-08T00:00:00"/>
        <d v="2024-10-07T00:00:00"/>
        <d v="2024-10-10T00:00:00"/>
        <d v="2024-10-13T00:00:00"/>
        <d v="2024-10-16T00:00:00"/>
        <d v="2024-10-17T00:00:00"/>
        <d v="2024-10-20T00:00:00"/>
        <d v="2024-10-22T00:00:00"/>
        <d v="2024-10-21T00:00:00"/>
        <d v="2024-10-24T00:00:00"/>
        <d v="2024-10-26T00:00:00"/>
        <d v="2024-10-28T00:00:00"/>
        <d v="2024-11-11T00:00:00"/>
        <d v="2024-11-08T00:00:00"/>
        <d v="2024-11-10T00:00:00"/>
        <d v="2024-11-12T00:00:00"/>
        <d v="2024-11-14T00:00:00"/>
        <d v="2024-11-17T00:00:00"/>
        <d v="2024-11-20T00:00:00"/>
        <d v="2024-11-22T00:00:00"/>
        <d v="2024-11-24T00:00:00"/>
        <d v="2024-11-19T00:00:00"/>
        <d v="2024-11-27T00:00:00"/>
        <d v="2024-11-29T00:00:00"/>
        <d v="2024-11-30T00:00:00"/>
        <d v="2024-12-02T00:00:00"/>
        <d v="2024-12-01T00:00:00"/>
        <d v="2024-12-04T00:00:00"/>
        <d v="2024-12-09T00:00:00"/>
        <d v="2024-12-12T00:00:00"/>
        <d v="2024-12-14T00:00:00"/>
      </sharedItems>
      <fieldGroup par="26"/>
    </cacheField>
    <cacheField name="ميعاد التسليم" numFmtId="14">
      <sharedItems containsNonDate="0" containsDate="1" containsString="0" containsBlank="1" minDate="2024-03-12T00:00:00" maxDate="2025-01-06T00:00:00"/>
    </cacheField>
    <cacheField name="معاد الانتظار(الهدف)" numFmtId="0">
      <sharedItems containsString="0" containsBlank="1" containsNumber="1" containsInteger="1" minValue="-241" maxValue="67"/>
    </cacheField>
    <cacheField name="تاريخ التسليم" numFmtId="14">
      <sharedItems containsNonDate="0" containsDate="1" containsString="0" containsBlank="1" minDate="2024-08-10T00:00:00" maxDate="2024-12-30T00:00:00"/>
    </cacheField>
    <cacheField name="معاد الانتظار(الفعلي)" numFmtId="0">
      <sharedItems containsString="0" containsBlank="1" containsNumber="1" containsInteger="1" minValue="0" maxValue="59"/>
    </cacheField>
    <cacheField name="المسئول عن التسليم" numFmtId="0">
      <sharedItems containsBlank="1" count="5">
        <s v="تم التسليم عن طريق شركه شحن "/>
        <m/>
        <s v="تم التسليم محمود على "/>
        <s v="تم التسليم بمعرفه الحج سيد "/>
        <s v="تم التسليم م محمد "/>
      </sharedItems>
    </cacheField>
    <cacheField name="الحالة" numFmtId="0">
      <sharedItems containsBlank="1" count="4">
        <s v="تم التسليم"/>
        <s v="فشل التسليم"/>
        <s v="مرتجع"/>
        <m/>
      </sharedItems>
    </cacheField>
    <cacheField name="Column1" numFmtId="0">
      <sharedItems containsBlank="1" count="3">
        <m/>
        <s v="في المعاد"/>
        <s v="متأخر"/>
      </sharedItems>
    </cacheField>
    <cacheField name="Days (ميعاد الطلب)" numFmtId="0" databaseField="0">
      <fieldGroup base="17">
        <rangePr groupBy="days" startDate="2024-07-27T00:00:00" endDate="2024-12-15T00:00:00"/>
        <groupItems count="368">
          <s v="&lt;7/27/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5/2024"/>
        </groupItems>
      </fieldGroup>
    </cacheField>
    <cacheField name="Months (ميعاد الطلب)" numFmtId="0" databaseField="0">
      <fieldGroup base="17">
        <rangePr groupBy="months" startDate="2024-07-27T00:00:00" endDate="2024-12-15T00:00:00"/>
        <groupItems count="14">
          <s v="&lt;7/27/2024"/>
          <s v="Jan"/>
          <s v="Feb"/>
          <s v="Mar"/>
          <s v="Apr"/>
          <s v="May"/>
          <s v="Jun"/>
          <s v="Jul"/>
          <s v="Aug"/>
          <s v="Sep"/>
          <s v="Oct"/>
          <s v="Nov"/>
          <s v="Dec"/>
          <s v="&gt;12/15/2024"/>
        </groupItems>
      </fieldGroup>
    </cacheField>
  </cacheFields>
  <extLst>
    <ext xmlns:x14="http://schemas.microsoft.com/office/spreadsheetml/2009/9/main" uri="{725AE2AE-9491-48be-B2B4-4EB974FC3084}">
      <x14:pivotCacheDefinition pivotCacheId="920038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s v="خالد عبد القوى "/>
    <s v="افراد"/>
    <s v="العجوزه - الجيزه"/>
    <x v="0"/>
    <x v="0"/>
    <m/>
    <m/>
    <m/>
    <s v="سرير منطبق الحديد ابيض والقماش ابيض "/>
    <x v="0"/>
    <x v="0"/>
    <x v="0"/>
    <m/>
    <n v="1"/>
    <n v="10160"/>
    <n v="10160"/>
    <x v="0"/>
    <x v="0"/>
    <m/>
    <n v="0"/>
    <d v="2024-08-10T00:00:00"/>
    <n v="14"/>
    <x v="0"/>
    <x v="0"/>
    <x v="0"/>
  </r>
  <r>
    <s v="محمود"/>
    <s v="افراد"/>
    <s v="سموحه - اسكندريه"/>
    <x v="1"/>
    <x v="0"/>
    <m/>
    <m/>
    <m/>
    <s v="سرير منطبق اسود والقماش اسود "/>
    <x v="0"/>
    <x v="0"/>
    <x v="1"/>
    <m/>
    <n v="1"/>
    <n v="10160"/>
    <n v="10160"/>
    <x v="1"/>
    <x v="1"/>
    <m/>
    <n v="0"/>
    <d v="2024-08-11T00:00:00"/>
    <n v="14"/>
    <x v="0"/>
    <x v="0"/>
    <x v="0"/>
  </r>
  <r>
    <s v="سعيد"/>
    <s v="افراد"/>
    <s v="سيدى عبد الرحمن - الساحل الشمالى "/>
    <x v="2"/>
    <x v="0"/>
    <s v="كيفنج"/>
    <s v="ازرق"/>
    <m/>
    <s v="سرير كيفنج مقاس 90 لون ازرق "/>
    <x v="0"/>
    <x v="1"/>
    <x v="2"/>
    <n v="90"/>
    <n v="1"/>
    <n v="11455"/>
    <n v="11455"/>
    <x v="1"/>
    <x v="0"/>
    <m/>
    <n v="0"/>
    <m/>
    <n v="0"/>
    <x v="1"/>
    <x v="1"/>
    <x v="0"/>
  </r>
  <r>
    <s v="ساندرا"/>
    <s v="افراد"/>
    <s v="الغردقه "/>
    <x v="3"/>
    <x v="0"/>
    <m/>
    <m/>
    <m/>
    <s v="ترابيزه قهوه متحركه "/>
    <x v="1"/>
    <x v="2"/>
    <x v="3"/>
    <m/>
    <n v="1"/>
    <n v="8642"/>
    <n v="8642"/>
    <x v="0"/>
    <x v="2"/>
    <d v="2024-09-07T00:00:00"/>
    <n v="13"/>
    <d v="2024-08-27T00:00:00"/>
    <n v="2"/>
    <x v="0"/>
    <x v="0"/>
    <x v="0"/>
  </r>
  <r>
    <s v="زينا "/>
    <s v="افراد"/>
    <s v="سيدى عبد الرحمن - الساحل الشمالى "/>
    <x v="2"/>
    <x v="0"/>
    <s v="نوفال"/>
    <s v="رمادى"/>
    <m/>
    <s v="سرير نوفال متر رمادى "/>
    <x v="0"/>
    <x v="3"/>
    <x v="4"/>
    <n v="100"/>
    <n v="1"/>
    <n v="12833"/>
    <n v="12833"/>
    <x v="1"/>
    <x v="3"/>
    <d v="2024-08-31T00:00:00"/>
    <n v="15"/>
    <m/>
    <n v="0"/>
    <x v="1"/>
    <x v="1"/>
    <x v="1"/>
  </r>
  <r>
    <s v="شيك هومز"/>
    <s v="شركات"/>
    <m/>
    <x v="4"/>
    <x v="1"/>
    <m/>
    <m/>
    <m/>
    <s v="كنبه سرير رمادى "/>
    <x v="0"/>
    <x v="4"/>
    <x v="4"/>
    <m/>
    <n v="1"/>
    <n v="14550"/>
    <n v="14550"/>
    <x v="0"/>
    <x v="4"/>
    <d v="2024-09-03T00:00:00"/>
    <n v="20"/>
    <d v="2024-09-05T00:00:00"/>
    <n v="22"/>
    <x v="0"/>
    <x v="0"/>
    <x v="2"/>
  </r>
  <r>
    <s v="احمد "/>
    <s v="افراد"/>
    <s v="التجمع الخامس"/>
    <x v="5"/>
    <x v="2"/>
    <m/>
    <m/>
    <m/>
    <s v="كنبه سرير رمادى "/>
    <x v="0"/>
    <x v="4"/>
    <x v="4"/>
    <m/>
    <n v="1"/>
    <n v="12000"/>
    <n v="12000"/>
    <x v="1"/>
    <x v="5"/>
    <d v="2024-08-20T00:00:00"/>
    <n v="3"/>
    <d v="2024-08-19T00:00:00"/>
    <n v="2"/>
    <x v="0"/>
    <x v="0"/>
    <x v="1"/>
  </r>
  <r>
    <s v="yilmaz"/>
    <s v="افراد"/>
    <s v="٦ اكتوبر الجيزه "/>
    <x v="0"/>
    <x v="0"/>
    <m/>
    <m/>
    <m/>
    <s v="سرير فردى ابيض "/>
    <x v="0"/>
    <x v="5"/>
    <x v="0"/>
    <m/>
    <n v="1"/>
    <n v="7228"/>
    <n v="7228"/>
    <x v="0"/>
    <x v="2"/>
    <d v="2024-09-03T00:00:00"/>
    <n v="9"/>
    <d v="2024-09-10T00:00:00"/>
    <n v="16"/>
    <x v="0"/>
    <x v="0"/>
    <x v="2"/>
  </r>
  <r>
    <s v="تاكى "/>
    <s v="شركات"/>
    <s v="العباسيه"/>
    <x v="5"/>
    <x v="3"/>
    <m/>
    <m/>
    <m/>
    <s v="ركنه "/>
    <x v="2"/>
    <x v="6"/>
    <x v="3"/>
    <m/>
    <n v="1"/>
    <n v="22000"/>
    <n v="22000"/>
    <x v="1"/>
    <x v="6"/>
    <d v="2024-09-01T00:00:00"/>
    <n v="13"/>
    <d v="2024-09-17T00:00:00"/>
    <n v="29"/>
    <x v="1"/>
    <x v="0"/>
    <x v="2"/>
  </r>
  <r>
    <s v="تاكى "/>
    <s v="شركات"/>
    <s v="العباسيه"/>
    <x v="5"/>
    <x v="3"/>
    <m/>
    <m/>
    <m/>
    <s v="2 كنبه سحاره بمخدع"/>
    <x v="3"/>
    <x v="7"/>
    <x v="3"/>
    <m/>
    <n v="2"/>
    <n v="16000"/>
    <n v="32000"/>
    <x v="1"/>
    <x v="7"/>
    <m/>
    <n v="0"/>
    <m/>
    <n v="0"/>
    <x v="1"/>
    <x v="1"/>
    <x v="0"/>
  </r>
  <r>
    <s v="تاكى "/>
    <s v="شركات"/>
    <s v="العباسيه "/>
    <x v="5"/>
    <x v="3"/>
    <m/>
    <m/>
    <m/>
    <s v="2 كنبه سحاره بدون مخدع "/>
    <x v="3"/>
    <x v="7"/>
    <x v="3"/>
    <m/>
    <n v="2"/>
    <n v="6000"/>
    <n v="12000"/>
    <x v="1"/>
    <x v="2"/>
    <d v="2024-09-15T00:00:00"/>
    <n v="21"/>
    <d v="2024-09-17T00:00:00"/>
    <n v="23"/>
    <x v="2"/>
    <x v="0"/>
    <x v="2"/>
  </r>
  <r>
    <s v="تاكى "/>
    <s v="شركات"/>
    <s v="العباسيه "/>
    <x v="5"/>
    <x v="3"/>
    <m/>
    <m/>
    <m/>
    <s v="2 كنبه سحاره بدون مخدع "/>
    <x v="3"/>
    <x v="7"/>
    <x v="3"/>
    <m/>
    <n v="2"/>
    <n v="6000"/>
    <n v="12000"/>
    <x v="1"/>
    <x v="2"/>
    <d v="2024-09-15T00:00:00"/>
    <n v="21"/>
    <d v="2024-09-17T00:00:00"/>
    <n v="23"/>
    <x v="2"/>
    <x v="0"/>
    <x v="2"/>
  </r>
  <r>
    <s v="على رشوان "/>
    <s v="افراد"/>
    <s v="مصر الجديده"/>
    <x v="5"/>
    <x v="0"/>
    <s v="نوفال"/>
    <s v="ابيض"/>
    <m/>
    <s v="سرير نوفال ابيض مقاس 80"/>
    <x v="0"/>
    <x v="3"/>
    <x v="0"/>
    <n v="80"/>
    <n v="1"/>
    <n v="10499"/>
    <n v="10499"/>
    <x v="1"/>
    <x v="8"/>
    <d v="2024-09-16T00:00:00"/>
    <n v="15"/>
    <d v="2024-09-08T00:00:00"/>
    <n v="7"/>
    <x v="0"/>
    <x v="0"/>
    <x v="1"/>
  </r>
  <r>
    <s v="احمد فخرى "/>
    <s v="افراد"/>
    <s v="٦ اكتوبر الجيزه "/>
    <x v="0"/>
    <x v="0"/>
    <s v="نوفال"/>
    <s v="ابيض"/>
    <m/>
    <s v="سرير فردى خشب موسكى الحديد ابيض مقاس 80"/>
    <x v="0"/>
    <x v="8"/>
    <x v="0"/>
    <n v="80"/>
    <n v="1"/>
    <n v="7295"/>
    <n v="7295"/>
    <x v="1"/>
    <x v="9"/>
    <d v="2024-09-14T00:00:00"/>
    <n v="9"/>
    <m/>
    <n v="0"/>
    <x v="1"/>
    <x v="1"/>
    <x v="1"/>
  </r>
  <r>
    <s v="لينا "/>
    <s v="افراد"/>
    <s v="المقطم "/>
    <x v="5"/>
    <x v="0"/>
    <m/>
    <m/>
    <m/>
    <s v="ترابيزه قهوه علويه جديده "/>
    <x v="1"/>
    <x v="2"/>
    <x v="3"/>
    <m/>
    <n v="1"/>
    <n v="7849"/>
    <n v="7849"/>
    <x v="0"/>
    <x v="10"/>
    <d v="2024-09-16T00:00:00"/>
    <n v="12"/>
    <d v="2024-09-25T00:00:00"/>
    <n v="21"/>
    <x v="0"/>
    <x v="2"/>
    <x v="2"/>
  </r>
  <r>
    <s v="فيصل نعيم "/>
    <s v="افراد"/>
    <s v="التجمع الخامس "/>
    <x v="5"/>
    <x v="4"/>
    <s v="كيفنج"/>
    <s v="اسود"/>
    <m/>
    <s v="2 سرير كيفنج 120 اسود "/>
    <x v="0"/>
    <x v="1"/>
    <x v="1"/>
    <n v="120"/>
    <n v="2"/>
    <n v="6180"/>
    <n v="12360"/>
    <x v="1"/>
    <x v="11"/>
    <d v="2024-09-16T00:00:00"/>
    <n v="13"/>
    <d v="2024-09-15T00:00:00"/>
    <n v="12"/>
    <x v="2"/>
    <x v="0"/>
    <x v="1"/>
  </r>
  <r>
    <s v="فيصل نعيم "/>
    <s v="افراد"/>
    <s v="التجمع الخامس "/>
    <x v="5"/>
    <x v="4"/>
    <s v="كيفنج"/>
    <s v="اسود"/>
    <m/>
    <s v="2 سرير كيفنج 120 اسود "/>
    <x v="0"/>
    <x v="1"/>
    <x v="1"/>
    <n v="120"/>
    <n v="2"/>
    <n v="6180"/>
    <n v="12360"/>
    <x v="1"/>
    <x v="11"/>
    <d v="2024-09-16T00:00:00"/>
    <n v="13"/>
    <d v="2024-09-15T00:00:00"/>
    <n v="12"/>
    <x v="2"/>
    <x v="0"/>
    <x v="1"/>
  </r>
  <r>
    <s v="ellho elkafy"/>
    <s v="افراد"/>
    <s v="مدينه نصر "/>
    <x v="5"/>
    <x v="0"/>
    <s v="كينج"/>
    <s v="ابيض"/>
    <m/>
    <s v="سرير كينج ابيض مقاس 80 التصميم الجديد "/>
    <x v="0"/>
    <x v="9"/>
    <x v="0"/>
    <n v="80"/>
    <n v="1"/>
    <n v="11199"/>
    <n v="11199"/>
    <x v="1"/>
    <x v="10"/>
    <d v="2024-09-18T00:00:00"/>
    <n v="14"/>
    <m/>
    <n v="0"/>
    <x v="1"/>
    <x v="1"/>
    <x v="1"/>
  </r>
  <r>
    <s v="احمد "/>
    <s v="افراد"/>
    <s v="القاهره الجديده"/>
    <x v="5"/>
    <x v="0"/>
    <s v="فورجينا"/>
    <s v="ابيض"/>
    <m/>
    <s v="4سرير فردى خشب موسكى الحديد ابيض مقاس 80"/>
    <x v="0"/>
    <x v="8"/>
    <x v="0"/>
    <n v="80"/>
    <n v="4"/>
    <n v="7987"/>
    <n v="31948"/>
    <x v="0"/>
    <x v="12"/>
    <d v="2024-09-16T00:00:00"/>
    <n v="10"/>
    <d v="2024-09-21T00:00:00"/>
    <n v="15"/>
    <x v="2"/>
    <x v="0"/>
    <x v="2"/>
  </r>
  <r>
    <s v="تاكى "/>
    <s v="شركات"/>
    <s v="العباسيه"/>
    <x v="5"/>
    <x v="3"/>
    <m/>
    <m/>
    <m/>
    <s v="2 فوتيه فنيسيا "/>
    <x v="2"/>
    <x v="10"/>
    <x v="3"/>
    <m/>
    <n v="2"/>
    <n v="9300"/>
    <n v="18600"/>
    <x v="1"/>
    <x v="10"/>
    <d v="2024-09-15T00:00:00"/>
    <n v="11"/>
    <d v="2024-09-17T00:00:00"/>
    <n v="13"/>
    <x v="2"/>
    <x v="0"/>
    <x v="2"/>
  </r>
  <r>
    <s v="احمد "/>
    <s v="افراد"/>
    <s v="القاهره الجديده"/>
    <x v="5"/>
    <x v="0"/>
    <s v="فورجينا"/>
    <s v="ابيض"/>
    <m/>
    <s v="4سرير فردى خشب موسكى الحديد ابيض مقاس 80"/>
    <x v="0"/>
    <x v="8"/>
    <x v="0"/>
    <n v="80"/>
    <n v="4"/>
    <n v="7987"/>
    <n v="31948"/>
    <x v="0"/>
    <x v="12"/>
    <d v="2024-09-16T00:00:00"/>
    <n v="10"/>
    <d v="2024-09-21T00:00:00"/>
    <n v="15"/>
    <x v="2"/>
    <x v="0"/>
    <x v="2"/>
  </r>
  <r>
    <s v="احمد "/>
    <s v="افراد"/>
    <s v="القاهره الجديده"/>
    <x v="5"/>
    <x v="0"/>
    <s v="فورجينا"/>
    <s v="ابيض"/>
    <m/>
    <s v="4سرير فردى خشب موسكى الحديد ابيض مقاس 80"/>
    <x v="0"/>
    <x v="8"/>
    <x v="0"/>
    <n v="80"/>
    <n v="4"/>
    <n v="7987"/>
    <n v="31948"/>
    <x v="0"/>
    <x v="12"/>
    <d v="2024-09-16T00:00:00"/>
    <n v="10"/>
    <d v="2024-09-21T00:00:00"/>
    <n v="15"/>
    <x v="2"/>
    <x v="0"/>
    <x v="2"/>
  </r>
  <r>
    <s v="احمد "/>
    <s v="افراد"/>
    <s v="القاهره الجديده"/>
    <x v="5"/>
    <x v="0"/>
    <s v="فورجينا"/>
    <s v="ابيض"/>
    <m/>
    <s v="4سرير فردى خشب موسكى الحديد ابيض مقاس 80"/>
    <x v="0"/>
    <x v="8"/>
    <x v="0"/>
    <n v="80"/>
    <n v="4"/>
    <n v="7987"/>
    <n v="31948"/>
    <x v="0"/>
    <x v="12"/>
    <d v="2024-09-16T00:00:00"/>
    <n v="10"/>
    <d v="2024-09-21T00:00:00"/>
    <n v="15"/>
    <x v="2"/>
    <x v="0"/>
    <x v="2"/>
  </r>
  <r>
    <s v="صفاء"/>
    <s v="افراد"/>
    <s v="المعادى"/>
    <x v="5"/>
    <x v="0"/>
    <m/>
    <m/>
    <m/>
    <s v="ترابيزه قهوه علويه جديده "/>
    <x v="1"/>
    <x v="2"/>
    <x v="3"/>
    <m/>
    <n v="1"/>
    <n v="8849"/>
    <n v="8849"/>
    <x v="0"/>
    <x v="11"/>
    <d v="2024-10-16T00:00:00"/>
    <n v="43"/>
    <m/>
    <n v="0"/>
    <x v="1"/>
    <x v="1"/>
    <x v="1"/>
  </r>
  <r>
    <s v="حسن حازم"/>
    <s v="افراد"/>
    <s v="٦ اكتوبر الجيزه "/>
    <x v="0"/>
    <x v="0"/>
    <s v="اسبانى"/>
    <s v="ابيض"/>
    <m/>
    <s v="سرير اسبانى ابيض 120"/>
    <x v="0"/>
    <x v="11"/>
    <x v="0"/>
    <n v="120"/>
    <n v="2"/>
    <n v="10987"/>
    <n v="21974"/>
    <x v="0"/>
    <x v="13"/>
    <d v="2024-09-17T00:00:00"/>
    <n v="8"/>
    <d v="2024-09-21T00:00:00"/>
    <n v="12"/>
    <x v="2"/>
    <x v="0"/>
    <x v="2"/>
  </r>
  <r>
    <s v="شيك هومز"/>
    <s v="شركات"/>
    <m/>
    <x v="4"/>
    <x v="1"/>
    <s v="كينج"/>
    <s v="ابيض"/>
    <m/>
    <s v="سرير كينج ابيض "/>
    <x v="0"/>
    <x v="9"/>
    <x v="0"/>
    <n v="100"/>
    <n v="1"/>
    <n v="9208"/>
    <n v="9208"/>
    <x v="1"/>
    <x v="8"/>
    <d v="2024-09-19T00:00:00"/>
    <n v="18"/>
    <d v="2024-09-21T00:00:00"/>
    <n v="20"/>
    <x v="2"/>
    <x v="0"/>
    <x v="2"/>
  </r>
  <r>
    <s v="شيك هومز"/>
    <s v="شركات"/>
    <m/>
    <x v="4"/>
    <x v="1"/>
    <s v="كينج"/>
    <s v="اسود"/>
    <m/>
    <s v="سرير كينج اسود "/>
    <x v="0"/>
    <x v="9"/>
    <x v="1"/>
    <n v="100"/>
    <n v="1"/>
    <n v="9208"/>
    <n v="9208"/>
    <x v="1"/>
    <x v="8"/>
    <d v="2024-09-19T00:00:00"/>
    <n v="18"/>
    <d v="2024-09-21T00:00:00"/>
    <n v="20"/>
    <x v="2"/>
    <x v="0"/>
    <x v="2"/>
  </r>
  <r>
    <s v="اوسكار راتن"/>
    <s v="شركات"/>
    <s v="مخزن اوسكار في القناطر "/>
    <x v="6"/>
    <x v="4"/>
    <s v="فورجينا"/>
    <s v="ابيض"/>
    <m/>
    <s v="2 سريرفورجينا خشب موسكى ابيض مقاس 120"/>
    <x v="0"/>
    <x v="12"/>
    <x v="0"/>
    <n v="120"/>
    <n v="2"/>
    <n v="4020"/>
    <n v="8040"/>
    <x v="2"/>
    <x v="14"/>
    <d v="2024-09-21T00:00:00"/>
    <n v="9"/>
    <d v="2024-09-22T00:00:00"/>
    <n v="10"/>
    <x v="2"/>
    <x v="0"/>
    <x v="2"/>
  </r>
  <r>
    <s v="اوسكار راتن"/>
    <s v="شركات"/>
    <s v="مخزن اوسكار في القناطر "/>
    <x v="6"/>
    <x v="4"/>
    <s v="فورجينا"/>
    <s v="ابيض"/>
    <m/>
    <s v="2 سريرفورجينا خشب موسكى ابيض مقاس 120"/>
    <x v="0"/>
    <x v="12"/>
    <x v="0"/>
    <n v="120"/>
    <n v="2"/>
    <n v="4020"/>
    <n v="8040"/>
    <x v="2"/>
    <x v="14"/>
    <d v="2024-09-21T00:00:00"/>
    <n v="9"/>
    <d v="2024-09-22T00:00:00"/>
    <n v="10"/>
    <x v="2"/>
    <x v="0"/>
    <x v="2"/>
  </r>
  <r>
    <s v="اوسكار راتن"/>
    <s v="شركات"/>
    <s v="مخزن اوسكار في القناطر "/>
    <x v="6"/>
    <x v="4"/>
    <s v="ارفيل"/>
    <s v="اسود"/>
    <m/>
    <s v="2 سرير ارفيل 120 اسود "/>
    <x v="0"/>
    <x v="13"/>
    <x v="1"/>
    <n v="120"/>
    <n v="2"/>
    <n v="4020"/>
    <n v="8040"/>
    <x v="0"/>
    <x v="14"/>
    <d v="2024-09-21T00:00:00"/>
    <n v="9"/>
    <d v="2024-09-22T00:00:00"/>
    <n v="10"/>
    <x v="2"/>
    <x v="0"/>
    <x v="2"/>
  </r>
  <r>
    <s v="اوسكار راتن"/>
    <s v="شركات"/>
    <s v="مخزن اوسكار في القناطر "/>
    <x v="6"/>
    <x v="4"/>
    <s v="ارفيل"/>
    <s v="اسود"/>
    <m/>
    <s v="2 سرير ارفيل 120 اسود "/>
    <x v="0"/>
    <x v="13"/>
    <x v="1"/>
    <n v="120"/>
    <n v="2"/>
    <n v="4020"/>
    <n v="8040"/>
    <x v="0"/>
    <x v="14"/>
    <d v="2024-09-21T00:00:00"/>
    <n v="9"/>
    <d v="2024-09-22T00:00:00"/>
    <n v="10"/>
    <x v="2"/>
    <x v="0"/>
    <x v="2"/>
  </r>
  <r>
    <s v="صفاء الحكيم"/>
    <s v="افراد"/>
    <s v="العين السخنه"/>
    <x v="7"/>
    <x v="0"/>
    <m/>
    <s v="اسود"/>
    <s v="اسود"/>
    <s v="سرير منطبق اسود وقماش اسود"/>
    <x v="0"/>
    <x v="14"/>
    <x v="1"/>
    <m/>
    <n v="1"/>
    <n v="9399"/>
    <n v="9399"/>
    <x v="0"/>
    <x v="15"/>
    <d v="2024-09-22T00:00:00"/>
    <n v="8"/>
    <m/>
    <n v="0"/>
    <x v="1"/>
    <x v="1"/>
    <x v="1"/>
  </r>
  <r>
    <s v="يوسف شناوى"/>
    <s v="افراد"/>
    <s v="الابراهيميه . الإسكندرية "/>
    <x v="1"/>
    <x v="0"/>
    <m/>
    <m/>
    <m/>
    <s v="ترابيزه قهوه علويه برف سحاب "/>
    <x v="1"/>
    <x v="2"/>
    <x v="3"/>
    <m/>
    <n v="1"/>
    <n v="8349"/>
    <n v="8349"/>
    <x v="0"/>
    <x v="15"/>
    <d v="2024-09-22T00:00:00"/>
    <n v="8"/>
    <d v="2024-09-24T00:00:00"/>
    <n v="10"/>
    <x v="0"/>
    <x v="0"/>
    <x v="2"/>
  </r>
  <r>
    <s v="حاتم العيسوي "/>
    <s v="افراد"/>
    <s v="٦ اكتوبر الجيزه "/>
    <x v="0"/>
    <x v="0"/>
    <m/>
    <s v="اسود"/>
    <s v="اسود"/>
    <s v="سرير منطبق اسود حديد وقماش"/>
    <x v="0"/>
    <x v="0"/>
    <x v="1"/>
    <m/>
    <n v="1"/>
    <n v="9399"/>
    <n v="9399"/>
    <x v="0"/>
    <x v="16"/>
    <d v="2024-09-24T00:00:00"/>
    <n v="11"/>
    <d v="2024-10-01T00:00:00"/>
    <n v="18"/>
    <x v="0"/>
    <x v="0"/>
    <x v="2"/>
  </r>
  <r>
    <s v="رنا "/>
    <s v="افراد"/>
    <s v="القطاميه "/>
    <x v="5"/>
    <x v="0"/>
    <m/>
    <m/>
    <m/>
    <s v="ترابيزه قهوه علويه جديده "/>
    <x v="1"/>
    <x v="2"/>
    <x v="3"/>
    <m/>
    <n v="1"/>
    <n v="7849"/>
    <n v="7849"/>
    <x v="1"/>
    <x v="14"/>
    <d v="2024-09-26T00:00:00"/>
    <n v="14"/>
    <m/>
    <n v="0"/>
    <x v="0"/>
    <x v="0"/>
    <x v="1"/>
  </r>
  <r>
    <s v="عبير نور الدين"/>
    <s v="افراد"/>
    <s v="١٨ شارع البحيري بولاق الدكرور الجيزه "/>
    <x v="0"/>
    <x v="2"/>
    <s v="كيفنج"/>
    <s v="اسود"/>
    <m/>
    <s v="سرير 3 ادوار اسود مقاس 100 "/>
    <x v="0"/>
    <x v="14"/>
    <x v="1"/>
    <n v="100"/>
    <n v="3"/>
    <n v="9450"/>
    <n v="28350"/>
    <x v="1"/>
    <x v="14"/>
    <d v="2024-09-26T00:00:00"/>
    <n v="14"/>
    <m/>
    <n v="0"/>
    <x v="1"/>
    <x v="1"/>
    <x v="1"/>
  </r>
  <r>
    <s v="اسراء ابو العنين "/>
    <s v="افراد"/>
    <s v="القاهره الجديده"/>
    <x v="5"/>
    <x v="0"/>
    <s v="اسبانى"/>
    <s v="اسود"/>
    <m/>
    <s v="سرير اسبانى اسود مقاس 120"/>
    <x v="0"/>
    <x v="11"/>
    <x v="1"/>
    <n v="120"/>
    <n v="2"/>
    <n v="7460"/>
    <n v="14920"/>
    <x v="0"/>
    <x v="16"/>
    <d v="2024-09-26T00:00:00"/>
    <n v="13"/>
    <d v="2024-10-03T00:00:00"/>
    <n v="20"/>
    <x v="2"/>
    <x v="0"/>
    <x v="2"/>
  </r>
  <r>
    <s v="وائل صادق"/>
    <s v="افراد"/>
    <s v="القاهره الجديده"/>
    <x v="5"/>
    <x v="0"/>
    <s v="كورين"/>
    <s v="دهبي"/>
    <s v="رمادى"/>
    <s v="سرير كوين مقاس 140 دهبي ورمادى "/>
    <x v="0"/>
    <x v="15"/>
    <x v="4"/>
    <n v="140"/>
    <n v="4"/>
    <n v="9528"/>
    <n v="38112"/>
    <x v="0"/>
    <x v="16"/>
    <d v="2024-09-26T00:00:00"/>
    <n v="13"/>
    <d v="2024-10-03T00:00:00"/>
    <n v="20"/>
    <x v="2"/>
    <x v="0"/>
    <x v="2"/>
  </r>
  <r>
    <s v="حسن مغرب "/>
    <s v="افراد"/>
    <s v="٦ اكتوبر الجيزه "/>
    <x v="0"/>
    <x v="0"/>
    <s v="كيفنج"/>
    <s v="رمادى"/>
    <m/>
    <s v="سرير كيفنج 120 رمادى "/>
    <x v="0"/>
    <x v="1"/>
    <x v="4"/>
    <n v="120"/>
    <n v="2"/>
    <n v="12999"/>
    <n v="25998"/>
    <x v="0"/>
    <x v="15"/>
    <d v="2024-09-27T00:00:00"/>
    <n v="13"/>
    <d v="2024-10-02T00:00:00"/>
    <n v="18"/>
    <x v="2"/>
    <x v="0"/>
    <x v="2"/>
  </r>
  <r>
    <s v="على السيد "/>
    <s v="افراد"/>
    <s v="الشروق القاهره "/>
    <x v="5"/>
    <x v="0"/>
    <s v="نوفال"/>
    <s v="اسود"/>
    <m/>
    <s v="سرير نوفال  90 اسود "/>
    <x v="0"/>
    <x v="3"/>
    <x v="1"/>
    <n v="90"/>
    <n v="1"/>
    <n v="5999"/>
    <n v="5999"/>
    <x v="0"/>
    <x v="14"/>
    <d v="2024-09-29T00:00:00"/>
    <n v="17"/>
    <m/>
    <n v="0"/>
    <x v="1"/>
    <x v="3"/>
    <x v="1"/>
  </r>
  <r>
    <s v="هشام بسيونى "/>
    <s v="افراد"/>
    <s v="حدايق الاهرام "/>
    <x v="0"/>
    <x v="0"/>
    <s v="كيفنج"/>
    <s v="اسود"/>
    <m/>
    <s v="            2 سرير كيفنج 100 اسود "/>
    <x v="0"/>
    <x v="1"/>
    <x v="1"/>
    <n v="100"/>
    <n v="2"/>
    <n v="11949"/>
    <n v="23898"/>
    <x v="1"/>
    <x v="14"/>
    <d v="2024-09-29T00:00:00"/>
    <n v="17"/>
    <d v="2024-10-02T00:00:00"/>
    <n v="20"/>
    <x v="2"/>
    <x v="0"/>
    <x v="2"/>
  </r>
  <r>
    <s v="هشام بسيونى "/>
    <s v="افراد"/>
    <s v="حدايق الاهرام "/>
    <x v="0"/>
    <x v="0"/>
    <s v="كيفنج"/>
    <s v="اسود"/>
    <m/>
    <s v="            2 سرير كيفنج 100 اسود "/>
    <x v="0"/>
    <x v="1"/>
    <x v="1"/>
    <n v="100"/>
    <n v="2"/>
    <n v="11949"/>
    <n v="23898"/>
    <x v="1"/>
    <x v="14"/>
    <d v="2024-09-29T00:00:00"/>
    <n v="17"/>
    <d v="2024-10-02T00:00:00"/>
    <n v="20"/>
    <x v="2"/>
    <x v="0"/>
    <x v="2"/>
  </r>
  <r>
    <s v="احمد "/>
    <s v="افراد"/>
    <s v="الشروق"/>
    <x v="5"/>
    <x v="0"/>
    <s v="كيفنج"/>
    <s v="ابيض"/>
    <m/>
    <s v="سرير 3 ادوار ابيض مقاس 80 ابيض "/>
    <x v="0"/>
    <x v="16"/>
    <x v="0"/>
    <n v="80"/>
    <n v="3"/>
    <n v="16599"/>
    <n v="49797"/>
    <x v="0"/>
    <x v="16"/>
    <d v="2024-09-30T00:00:00"/>
    <n v="17"/>
    <d v="2024-10-03T00:00:00"/>
    <n v="20"/>
    <x v="2"/>
    <x v="0"/>
    <x v="2"/>
  </r>
  <r>
    <s v="ساره وجيه "/>
    <s v="افراد"/>
    <s v="الغردقه "/>
    <x v="3"/>
    <x v="0"/>
    <s v="كيفنج"/>
    <s v="ابيض"/>
    <m/>
    <s v="سرير كيفنج دورين مقاس 80 ابيض "/>
    <x v="0"/>
    <x v="1"/>
    <x v="0"/>
    <n v="80"/>
    <n v="1"/>
    <n v="10999"/>
    <n v="10999"/>
    <x v="0"/>
    <x v="16"/>
    <d v="2024-09-30T00:00:00"/>
    <n v="17"/>
    <d v="2024-10-16T00:00:00"/>
    <n v="33"/>
    <x v="0"/>
    <x v="0"/>
    <x v="2"/>
  </r>
  <r>
    <s v="مها "/>
    <s v="افراد"/>
    <s v="لافيستا العين السخنه "/>
    <x v="7"/>
    <x v="0"/>
    <s v="كيفنج"/>
    <s v="ازرق"/>
    <m/>
    <s v="سرير استيل ازرق مقاس 140"/>
    <x v="0"/>
    <x v="17"/>
    <x v="2"/>
    <n v="140"/>
    <n v="4"/>
    <n v="13099"/>
    <n v="52396"/>
    <x v="0"/>
    <x v="16"/>
    <d v="2024-09-30T00:00:00"/>
    <n v="17"/>
    <d v="2024-10-03T00:00:00"/>
    <n v="20"/>
    <x v="0"/>
    <x v="0"/>
    <x v="2"/>
  </r>
  <r>
    <s v="بسام الشربينى "/>
    <s v="افراد"/>
    <s v="٦ اكتوبر الجيزه "/>
    <x v="0"/>
    <x v="0"/>
    <s v="كينج"/>
    <s v="بنفسجى"/>
    <m/>
    <s v="سرير كينج 120 بنفسجى "/>
    <x v="0"/>
    <x v="9"/>
    <x v="3"/>
    <n v="120"/>
    <n v="2"/>
    <n v="13849"/>
    <n v="27698"/>
    <x v="0"/>
    <x v="16"/>
    <d v="2024-09-30T00:00:00"/>
    <n v="17"/>
    <d v="2024-10-20T00:00:00"/>
    <n v="37"/>
    <x v="2"/>
    <x v="0"/>
    <x v="2"/>
  </r>
  <r>
    <s v="هبه عبد الفتاح "/>
    <s v="افراد"/>
    <s v="القاهره الجديده "/>
    <x v="5"/>
    <x v="0"/>
    <m/>
    <s v="اسود"/>
    <s v="رمادى"/>
    <s v="كنبه سرير 4 حركه "/>
    <x v="0"/>
    <x v="4"/>
    <x v="1"/>
    <m/>
    <n v="4"/>
    <n v="21999"/>
    <n v="87996"/>
    <x v="0"/>
    <x v="16"/>
    <d v="2024-09-30T00:00:00"/>
    <n v="17"/>
    <m/>
    <n v="0"/>
    <x v="2"/>
    <x v="0"/>
    <x v="1"/>
  </r>
  <r>
    <s v="اسراء ابراهيم "/>
    <s v="افراد"/>
    <s v="٦ اكتوبر الجيزه "/>
    <x v="0"/>
    <x v="0"/>
    <s v="كيفنج"/>
    <s v="ابيض"/>
    <m/>
    <s v="سرير كيفنج دورين مقاس 80 ابيض "/>
    <x v="0"/>
    <x v="1"/>
    <x v="0"/>
    <n v="80"/>
    <n v="1"/>
    <n v="10999"/>
    <n v="10999"/>
    <x v="0"/>
    <x v="16"/>
    <d v="2024-09-30T00:00:00"/>
    <n v="17"/>
    <d v="2024-10-15T00:00:00"/>
    <n v="32"/>
    <x v="2"/>
    <x v="0"/>
    <x v="2"/>
  </r>
  <r>
    <s v="طارق كمال "/>
    <s v="افراد"/>
    <s v="المعادى"/>
    <x v="5"/>
    <x v="0"/>
    <s v="كيفنج"/>
    <s v="اسود"/>
    <m/>
    <s v="سرير 3 ادوار اسود مقاس 90 "/>
    <x v="0"/>
    <x v="16"/>
    <x v="1"/>
    <n v="90"/>
    <n v="3"/>
    <n v="17249"/>
    <n v="51747"/>
    <x v="0"/>
    <x v="16"/>
    <d v="2024-09-30T00:00:00"/>
    <n v="17"/>
    <d v="2024-10-04T00:00:00"/>
    <n v="21"/>
    <x v="2"/>
    <x v="0"/>
    <x v="2"/>
  </r>
  <r>
    <s v="ديفد بهجت "/>
    <s v="افراد"/>
    <s v="فيصل الجيزه"/>
    <x v="0"/>
    <x v="0"/>
    <m/>
    <m/>
    <m/>
    <s v="ترابيزه قهوه 2 رافع"/>
    <x v="1"/>
    <x v="2"/>
    <x v="3"/>
    <m/>
    <n v="2"/>
    <n v="8349"/>
    <n v="16698"/>
    <x v="0"/>
    <x v="15"/>
    <d v="2024-10-16T00:00:00"/>
    <n v="32"/>
    <d v="2024-10-21T00:00:00"/>
    <n v="37"/>
    <x v="2"/>
    <x v="0"/>
    <x v="2"/>
  </r>
  <r>
    <s v="اياد "/>
    <s v="افراد"/>
    <s v="المقطم "/>
    <x v="5"/>
    <x v="0"/>
    <m/>
    <m/>
    <m/>
    <s v="ترابيزه قهوه متحركه "/>
    <x v="1"/>
    <x v="2"/>
    <x v="3"/>
    <m/>
    <n v="1"/>
    <n v="7849"/>
    <n v="7849"/>
    <x v="0"/>
    <x v="15"/>
    <d v="2024-10-29T00:00:00"/>
    <n v="45"/>
    <d v="2024-10-30T00:00:00"/>
    <n v="46"/>
    <x v="2"/>
    <x v="0"/>
    <x v="2"/>
  </r>
  <r>
    <s v="ميار خورشد"/>
    <s v="افراد"/>
    <s v="٦ اكتوبر الجيزه "/>
    <x v="0"/>
    <x v="0"/>
    <m/>
    <s v="اسود"/>
    <s v="اسود"/>
    <s v="سرير منطبق اسود حديد ومعدن "/>
    <x v="0"/>
    <x v="0"/>
    <x v="1"/>
    <m/>
    <n v="1"/>
    <n v="9399"/>
    <n v="9399"/>
    <x v="0"/>
    <x v="15"/>
    <d v="2024-10-29T00:00:00"/>
    <n v="45"/>
    <d v="2024-10-15T00:00:00"/>
    <n v="31"/>
    <x v="2"/>
    <x v="0"/>
    <x v="1"/>
  </r>
  <r>
    <s v="عبد الله سيد "/>
    <s v="افراد"/>
    <s v="الشيخ زايد ٦ اكتوبر "/>
    <x v="0"/>
    <x v="0"/>
    <s v="اسبانى"/>
    <s v="اسود"/>
    <m/>
    <s v="سرير اسبانى  140 اسود وبيج "/>
    <x v="0"/>
    <x v="11"/>
    <x v="1"/>
    <n v="140"/>
    <n v="4"/>
    <n v="11817"/>
    <n v="47268"/>
    <x v="0"/>
    <x v="15"/>
    <d v="2024-10-29T00:00:00"/>
    <n v="45"/>
    <d v="2024-10-15T00:00:00"/>
    <n v="31"/>
    <x v="2"/>
    <x v="0"/>
    <x v="1"/>
  </r>
  <r>
    <s v="كينج سونا "/>
    <s v="افراد"/>
    <s v="الشروق"/>
    <x v="5"/>
    <x v="0"/>
    <m/>
    <m/>
    <m/>
    <s v="ترابيزه قهوه مرتفعه برف سحاب "/>
    <x v="1"/>
    <x v="2"/>
    <x v="3"/>
    <m/>
    <n v="1"/>
    <n v="8349"/>
    <n v="8349"/>
    <x v="0"/>
    <x v="15"/>
    <d v="2024-10-29T00:00:00"/>
    <n v="45"/>
    <d v="2024-10-19T00:00:00"/>
    <n v="35"/>
    <x v="2"/>
    <x v="0"/>
    <x v="1"/>
  </r>
  <r>
    <s v="احمد خالد "/>
    <s v="افراد"/>
    <s v="الرحاب"/>
    <x v="5"/>
    <x v="0"/>
    <s v="فورجينا"/>
    <s v="ابيض"/>
    <m/>
    <s v=" 2. سرير فورجينا ابيض مقاس 120"/>
    <x v="0"/>
    <x v="12"/>
    <x v="0"/>
    <n v="120"/>
    <n v="2"/>
    <n v="17886"/>
    <n v="35772"/>
    <x v="0"/>
    <x v="15"/>
    <d v="2024-10-29T00:00:00"/>
    <n v="45"/>
    <m/>
    <n v="0"/>
    <x v="1"/>
    <x v="1"/>
    <x v="1"/>
  </r>
  <r>
    <s v="احمد خالد "/>
    <s v="افراد"/>
    <s v="الرحاب"/>
    <x v="5"/>
    <x v="0"/>
    <s v="فورجينا"/>
    <s v="ابيض"/>
    <m/>
    <s v=" 2. سرير فورجينا ابيض مقاس 120"/>
    <x v="0"/>
    <x v="12"/>
    <x v="0"/>
    <n v="120"/>
    <n v="2"/>
    <n v="17886"/>
    <n v="35772"/>
    <x v="0"/>
    <x v="15"/>
    <d v="2024-10-29T00:00:00"/>
    <n v="45"/>
    <m/>
    <n v="0"/>
    <x v="1"/>
    <x v="1"/>
    <x v="1"/>
  </r>
  <r>
    <s v="ساره"/>
    <s v="افراد"/>
    <s v="القاهره الجديده"/>
    <x v="5"/>
    <x v="0"/>
    <s v="اسبانى"/>
    <s v="ابيض"/>
    <m/>
    <s v="   2. سرير اسبانى ابيض 120"/>
    <x v="0"/>
    <x v="11"/>
    <x v="0"/>
    <n v="120"/>
    <n v="2"/>
    <n v="10987"/>
    <n v="21974"/>
    <x v="0"/>
    <x v="15"/>
    <d v="2024-10-29T00:00:00"/>
    <n v="45"/>
    <d v="2024-10-13T00:00:00"/>
    <n v="29"/>
    <x v="2"/>
    <x v="0"/>
    <x v="1"/>
  </r>
  <r>
    <s v="ساره"/>
    <s v="افراد"/>
    <s v="القاهره الجديده"/>
    <x v="5"/>
    <x v="0"/>
    <s v="اسبانى"/>
    <s v="ابيض"/>
    <m/>
    <s v="   2. سرير اسبانى ابيض 120"/>
    <x v="0"/>
    <x v="11"/>
    <x v="0"/>
    <n v="120"/>
    <n v="2"/>
    <n v="10987"/>
    <n v="21974"/>
    <x v="0"/>
    <x v="15"/>
    <d v="2024-10-29T00:00:00"/>
    <n v="45"/>
    <d v="2024-10-13T00:00:00"/>
    <n v="29"/>
    <x v="2"/>
    <x v="0"/>
    <x v="1"/>
  </r>
  <r>
    <s v="احمد ايمن "/>
    <s v="افراد"/>
    <s v="العبور"/>
    <x v="6"/>
    <x v="0"/>
    <m/>
    <m/>
    <m/>
    <s v="ترابيزه قهوه علويه جديده "/>
    <x v="1"/>
    <x v="2"/>
    <x v="3"/>
    <m/>
    <n v="1"/>
    <n v="10319"/>
    <n v="10319"/>
    <x v="0"/>
    <x v="15"/>
    <d v="2024-10-29T00:00:00"/>
    <n v="45"/>
    <d v="2024-10-19T00:00:00"/>
    <n v="35"/>
    <x v="2"/>
    <x v="0"/>
    <x v="1"/>
  </r>
  <r>
    <s v="مصطفي غنيم "/>
    <s v="افراد"/>
    <s v="اسيوط "/>
    <x v="8"/>
    <x v="0"/>
    <s v="كيفنج"/>
    <s v="رمادى"/>
    <m/>
    <s v="سرير كيفنج دورين مقاس 120 رمادى "/>
    <x v="0"/>
    <x v="1"/>
    <x v="4"/>
    <n v="120"/>
    <n v="2"/>
    <n v="12999"/>
    <n v="25998"/>
    <x v="0"/>
    <x v="15"/>
    <d v="2024-11-20T00:00:00"/>
    <n v="67"/>
    <d v="2024-10-17T00:00:00"/>
    <n v="33"/>
    <x v="0"/>
    <x v="0"/>
    <x v="1"/>
  </r>
  <r>
    <s v="حسام عبدون"/>
    <s v="افراد"/>
    <s v="الغردقه"/>
    <x v="3"/>
    <x v="0"/>
    <m/>
    <s v="اسود"/>
    <s v="رمادى"/>
    <s v="كنبه سرير 4 حركه "/>
    <x v="0"/>
    <x v="4"/>
    <x v="1"/>
    <m/>
    <n v="4"/>
    <n v="21999"/>
    <n v="87996"/>
    <x v="0"/>
    <x v="15"/>
    <d v="2024-11-20T00:00:00"/>
    <n v="67"/>
    <m/>
    <n v="0"/>
    <x v="1"/>
    <x v="1"/>
    <x v="1"/>
  </r>
  <r>
    <s v="رامى "/>
    <s v="افراد"/>
    <s v="الشروق"/>
    <x v="5"/>
    <x v="0"/>
    <s v="نوفال"/>
    <s v="رمادى"/>
    <m/>
    <s v="سرير نوفال 100 رمادى "/>
    <x v="0"/>
    <x v="3"/>
    <x v="4"/>
    <n v="100"/>
    <n v="1"/>
    <n v="12399"/>
    <n v="12399"/>
    <x v="0"/>
    <x v="15"/>
    <d v="2024-11-20T00:00:00"/>
    <n v="67"/>
    <d v="2024-10-01T00:00:00"/>
    <n v="17"/>
    <x v="0"/>
    <x v="0"/>
    <x v="1"/>
  </r>
  <r>
    <s v="رحاب"/>
    <s v="افراد"/>
    <s v="القاهره الجديده"/>
    <x v="5"/>
    <x v="0"/>
    <m/>
    <s v="اسود"/>
    <s v="رمادى"/>
    <s v="كنبه سرير 4 حركه "/>
    <x v="0"/>
    <x v="4"/>
    <x v="1"/>
    <m/>
    <n v="4"/>
    <n v="21999"/>
    <n v="87996"/>
    <x v="0"/>
    <x v="15"/>
    <d v="2024-11-20T00:00:00"/>
    <n v="67"/>
    <d v="2024-10-09T00:00:00"/>
    <n v="25"/>
    <x v="2"/>
    <x v="0"/>
    <x v="1"/>
  </r>
  <r>
    <s v="فؤاد المنسي "/>
    <s v="افراد"/>
    <s v="المقطم "/>
    <x v="5"/>
    <x v="0"/>
    <s v="نوفال"/>
    <s v="ابيض"/>
    <m/>
    <s v="سرير نوفال مقاس 80 ابيض "/>
    <x v="0"/>
    <x v="3"/>
    <x v="0"/>
    <n v="80"/>
    <n v="1"/>
    <n v="10999"/>
    <n v="10999"/>
    <x v="0"/>
    <x v="15"/>
    <d v="2024-11-20T00:00:00"/>
    <n v="67"/>
    <d v="2024-10-16T00:00:00"/>
    <n v="32"/>
    <x v="2"/>
    <x v="0"/>
    <x v="1"/>
  </r>
  <r>
    <s v="mohannad"/>
    <s v="افراد"/>
    <s v="EL-Maadi"/>
    <x v="5"/>
    <x v="0"/>
    <s v="كيفنج"/>
    <s v="ابيض"/>
    <m/>
    <m/>
    <x v="2"/>
    <x v="14"/>
    <x v="0"/>
    <n v="80"/>
    <n v="1"/>
    <n v="10999"/>
    <n v="10999"/>
    <x v="0"/>
    <x v="17"/>
    <d v="2024-11-20T00:00:00"/>
    <n v="66"/>
    <d v="2024-10-16T00:00:00"/>
    <n v="31"/>
    <x v="2"/>
    <x v="0"/>
    <x v="1"/>
  </r>
  <r>
    <s v="mohannad"/>
    <s v="افراد"/>
    <s v="EL-Maadi"/>
    <x v="5"/>
    <x v="0"/>
    <s v="كيفنج"/>
    <s v="ابيض"/>
    <m/>
    <m/>
    <x v="2"/>
    <x v="14"/>
    <x v="0"/>
    <n v="80"/>
    <n v="1"/>
    <n v="10999"/>
    <n v="10999"/>
    <x v="0"/>
    <x v="17"/>
    <d v="2024-11-20T00:00:00"/>
    <n v="66"/>
    <d v="2024-10-16T00:00:00"/>
    <n v="31"/>
    <x v="2"/>
    <x v="0"/>
    <x v="1"/>
  </r>
  <r>
    <s v="Mohamed Ayman"/>
    <s v="افراد"/>
    <s v="Madinet Badr"/>
    <x v="5"/>
    <x v="0"/>
    <m/>
    <s v="اسود"/>
    <s v="رمادى"/>
    <m/>
    <x v="2"/>
    <x v="14"/>
    <x v="1"/>
    <m/>
    <n v="1"/>
    <n v="21999"/>
    <n v="21999"/>
    <x v="0"/>
    <x v="17"/>
    <d v="2024-11-20T00:00:00"/>
    <n v="66"/>
    <d v="2024-10-19T00:00:00"/>
    <n v="34"/>
    <x v="2"/>
    <x v="0"/>
    <x v="1"/>
  </r>
  <r>
    <s v="اسامه"/>
    <s v="افراد"/>
    <s v="العين السخنه"/>
    <x v="7"/>
    <x v="0"/>
    <m/>
    <m/>
    <m/>
    <m/>
    <x v="2"/>
    <x v="14"/>
    <x v="3"/>
    <m/>
    <n v="1"/>
    <n v="7849"/>
    <n v="7849"/>
    <x v="1"/>
    <x v="18"/>
    <d v="2024-10-30T00:00:00"/>
    <n v="44"/>
    <d v="2024-11-14T00:00:00"/>
    <n v="59"/>
    <x v="0"/>
    <x v="0"/>
    <x v="2"/>
  </r>
  <r>
    <s v="اوسكار راتن"/>
    <s v="شركات"/>
    <s v="المخزن ابو الغيط "/>
    <x v="6"/>
    <x v="4"/>
    <s v="كيفنج"/>
    <s v="ابيض"/>
    <m/>
    <m/>
    <x v="2"/>
    <x v="14"/>
    <x v="0"/>
    <n v="80"/>
    <n v="1"/>
    <n v="5074"/>
    <n v="5074"/>
    <x v="2"/>
    <x v="19"/>
    <d v="2024-10-05T00:00:00"/>
    <n v="14"/>
    <d v="2024-10-12T00:00:00"/>
    <n v="21"/>
    <x v="2"/>
    <x v="0"/>
    <x v="2"/>
  </r>
  <r>
    <s v="تاكى "/>
    <s v="شركات"/>
    <s v="العباسيه"/>
    <x v="5"/>
    <x v="3"/>
    <s v="كينج"/>
    <s v="اسود وبنى"/>
    <m/>
    <m/>
    <x v="2"/>
    <x v="14"/>
    <x v="5"/>
    <n v="100"/>
    <n v="1"/>
    <n v="6250"/>
    <n v="6250"/>
    <x v="2"/>
    <x v="20"/>
    <d v="2024-10-08T00:00:00"/>
    <n v="15"/>
    <d v="2024-10-17T00:00:00"/>
    <n v="24"/>
    <x v="2"/>
    <x v="0"/>
    <x v="2"/>
  </r>
  <r>
    <s v="تاكى "/>
    <s v="شركات"/>
    <s v="العباسيه"/>
    <x v="5"/>
    <x v="3"/>
    <s v="كينج"/>
    <s v="اسود وبنى"/>
    <m/>
    <m/>
    <x v="2"/>
    <x v="14"/>
    <x v="5"/>
    <n v="100"/>
    <n v="1"/>
    <n v="6250"/>
    <n v="6250"/>
    <x v="2"/>
    <x v="20"/>
    <d v="2024-10-08T00:00:00"/>
    <n v="15"/>
    <d v="2024-10-17T00:00:00"/>
    <n v="24"/>
    <x v="2"/>
    <x v="0"/>
    <x v="2"/>
  </r>
  <r>
    <s v="ولاء بدوى"/>
    <s v="افراد"/>
    <s v="العباسيه"/>
    <x v="5"/>
    <x v="0"/>
    <s v="فورجينا"/>
    <s v="ابيض"/>
    <m/>
    <m/>
    <x v="2"/>
    <x v="14"/>
    <x v="0"/>
    <n v="120"/>
    <n v="1"/>
    <n v="8943"/>
    <n v="8943"/>
    <x v="1"/>
    <x v="21"/>
    <d v="2024-11-10T00:00:00"/>
    <n v="45"/>
    <d v="2024-10-10T00:00:00"/>
    <n v="14"/>
    <x v="2"/>
    <x v="0"/>
    <x v="1"/>
  </r>
  <r>
    <s v="عبد الرحمن يسري"/>
    <s v="افراد"/>
    <s v="اكتوبر الجيزه"/>
    <x v="0"/>
    <x v="0"/>
    <m/>
    <m/>
    <m/>
    <m/>
    <x v="2"/>
    <x v="14"/>
    <x v="3"/>
    <m/>
    <n v="1"/>
    <n v="8349"/>
    <n v="8349"/>
    <x v="1"/>
    <x v="21"/>
    <d v="2024-11-10T00:00:00"/>
    <n v="45"/>
    <m/>
    <n v="0"/>
    <x v="1"/>
    <x v="1"/>
    <x v="1"/>
  </r>
  <r>
    <s v="شيك هومز"/>
    <s v="شركات"/>
    <s v="التجمع"/>
    <x v="5"/>
    <x v="1"/>
    <m/>
    <m/>
    <s v="نبيتى"/>
    <m/>
    <x v="2"/>
    <x v="14"/>
    <x v="3"/>
    <m/>
    <n v="1"/>
    <n v="14950"/>
    <n v="14950"/>
    <x v="0"/>
    <x v="21"/>
    <d v="2024-10-14T00:00:00"/>
    <n v="18"/>
    <d v="2024-10-13T00:00:00"/>
    <n v="17"/>
    <x v="2"/>
    <x v="0"/>
    <x v="1"/>
  </r>
  <r>
    <s v="شيك هومز"/>
    <s v="شركات"/>
    <m/>
    <x v="4"/>
    <x v="1"/>
    <s v="كينج"/>
    <s v="اسود "/>
    <m/>
    <m/>
    <x v="2"/>
    <x v="14"/>
    <x v="1"/>
    <n v="100"/>
    <n v="1"/>
    <n v="9208"/>
    <n v="9208"/>
    <x v="1"/>
    <x v="21"/>
    <d v="2024-10-14T00:00:00"/>
    <n v="18"/>
    <m/>
    <n v="0"/>
    <x v="1"/>
    <x v="1"/>
    <x v="1"/>
  </r>
  <r>
    <s v="شيك هومز"/>
    <s v="شركات"/>
    <m/>
    <x v="4"/>
    <x v="1"/>
    <s v="اسبانى"/>
    <s v="ابيض"/>
    <m/>
    <m/>
    <x v="2"/>
    <x v="14"/>
    <x v="0"/>
    <n v="120"/>
    <n v="1"/>
    <n v="7433"/>
    <n v="7433"/>
    <x v="0"/>
    <x v="22"/>
    <d v="2024-10-20T00:00:00"/>
    <n v="21"/>
    <d v="2024-10-21T00:00:00"/>
    <n v="22"/>
    <x v="2"/>
    <x v="0"/>
    <x v="2"/>
  </r>
  <r>
    <s v="اوسكار راتن"/>
    <s v="شركات"/>
    <s v="المخزن ابو الغيط "/>
    <x v="6"/>
    <x v="4"/>
    <s v="فورجينا"/>
    <s v="ابيض"/>
    <m/>
    <m/>
    <x v="2"/>
    <x v="14"/>
    <x v="0"/>
    <n v="120"/>
    <n v="1"/>
    <n v="4020"/>
    <n v="4020"/>
    <x v="2"/>
    <x v="22"/>
    <d v="2024-10-12T00:00:00"/>
    <n v="13"/>
    <d v="2024-10-12T00:00:00"/>
    <n v="13"/>
    <x v="2"/>
    <x v="0"/>
    <x v="1"/>
  </r>
  <r>
    <s v="الحج محمد السويس"/>
    <s v="افراد"/>
    <s v="السويس "/>
    <x v="7"/>
    <x v="5"/>
    <s v="فانتاستك"/>
    <s v="ملون"/>
    <m/>
    <m/>
    <x v="2"/>
    <x v="14"/>
    <x v="6"/>
    <n v="100"/>
    <n v="1"/>
    <n v="8544.9054400000005"/>
    <n v="8544.9054400000005"/>
    <x v="3"/>
    <x v="23"/>
    <d v="2024-10-09T00:00:00"/>
    <n v="8"/>
    <d v="2024-10-09T00:00:00"/>
    <n v="8"/>
    <x v="3"/>
    <x v="0"/>
    <x v="1"/>
  </r>
  <r>
    <s v="الحج محمد السويس"/>
    <s v="افراد"/>
    <s v="السويس "/>
    <x v="7"/>
    <x v="5"/>
    <m/>
    <s v="اسزد"/>
    <s v="بيج"/>
    <m/>
    <x v="2"/>
    <x v="14"/>
    <x v="1"/>
    <m/>
    <n v="1"/>
    <n v="4600"/>
    <n v="4600"/>
    <x v="3"/>
    <x v="23"/>
    <d v="2024-10-09T00:00:00"/>
    <n v="8"/>
    <d v="2024-10-09T00:00:00"/>
    <n v="8"/>
    <x v="3"/>
    <x v="0"/>
    <x v="1"/>
  </r>
  <r>
    <s v="الحج محمد السويس"/>
    <s v="افراد"/>
    <s v="السويس "/>
    <x v="7"/>
    <x v="5"/>
    <m/>
    <s v="اسود"/>
    <s v="رصاصي مشجر"/>
    <m/>
    <x v="2"/>
    <x v="14"/>
    <x v="1"/>
    <m/>
    <n v="1"/>
    <n v="10000"/>
    <n v="10000"/>
    <x v="3"/>
    <x v="23"/>
    <d v="2024-10-09T00:00:00"/>
    <n v="8"/>
    <d v="2024-10-09T00:00:00"/>
    <n v="8"/>
    <x v="3"/>
    <x v="0"/>
    <x v="1"/>
  </r>
  <r>
    <s v="الحج محمد السويس"/>
    <s v="افراد"/>
    <s v="السويس "/>
    <x v="7"/>
    <x v="5"/>
    <m/>
    <s v="اسود"/>
    <s v="نبيتى"/>
    <m/>
    <x v="2"/>
    <x v="14"/>
    <x v="1"/>
    <m/>
    <n v="1"/>
    <m/>
    <n v="0"/>
    <x v="3"/>
    <x v="23"/>
    <d v="2024-10-09T00:00:00"/>
    <n v="8"/>
    <d v="2024-10-09T00:00:00"/>
    <n v="8"/>
    <x v="3"/>
    <x v="0"/>
    <x v="1"/>
  </r>
  <r>
    <s v="عمرو الأسود"/>
    <s v="افراد"/>
    <s v="الزمالك"/>
    <x v="5"/>
    <x v="0"/>
    <m/>
    <s v="اسود"/>
    <s v="اسود"/>
    <m/>
    <x v="2"/>
    <x v="14"/>
    <x v="1"/>
    <m/>
    <n v="1"/>
    <n v="8899"/>
    <n v="8899"/>
    <x v="1"/>
    <x v="24"/>
    <d v="2024-11-17T00:00:00"/>
    <n v="45"/>
    <m/>
    <n v="0"/>
    <x v="1"/>
    <x v="3"/>
    <x v="1"/>
  </r>
  <r>
    <s v="شيك هومز"/>
    <s v="شركات"/>
    <s v="مخزن شيك هومز"/>
    <x v="4"/>
    <x v="1"/>
    <m/>
    <s v="اسود "/>
    <s v="بترولى"/>
    <m/>
    <x v="2"/>
    <x v="14"/>
    <x v="1"/>
    <m/>
    <n v="1"/>
    <n v="14550"/>
    <n v="14550"/>
    <x v="0"/>
    <x v="25"/>
    <d v="2024-10-29T00:00:00"/>
    <n v="21"/>
    <d v="2024-10-30T00:00:00"/>
    <n v="22"/>
    <x v="2"/>
    <x v="0"/>
    <x v="2"/>
  </r>
  <r>
    <s v="شيك هومز"/>
    <s v="شركات"/>
    <s v="أكتوبر "/>
    <x v="0"/>
    <x v="1"/>
    <m/>
    <s v="اسود "/>
    <s v="بترولى"/>
    <m/>
    <x v="2"/>
    <x v="14"/>
    <x v="1"/>
    <m/>
    <n v="1"/>
    <n v="14550"/>
    <n v="14550"/>
    <x v="0"/>
    <x v="26"/>
    <d v="2024-10-29T00:00:00"/>
    <n v="22"/>
    <d v="2024-10-15T00:00:00"/>
    <n v="8"/>
    <x v="2"/>
    <x v="0"/>
    <x v="1"/>
  </r>
  <r>
    <s v="شيك هومز"/>
    <s v="شركات"/>
    <m/>
    <x v="4"/>
    <x v="1"/>
    <m/>
    <s v="اسود "/>
    <s v="نبيتى"/>
    <m/>
    <x v="2"/>
    <x v="14"/>
    <x v="1"/>
    <m/>
    <n v="1"/>
    <n v="14550"/>
    <n v="14550"/>
    <x v="1"/>
    <x v="27"/>
    <d v="2024-10-31T00:00:00"/>
    <n v="21"/>
    <d v="2024-11-02T00:00:00"/>
    <n v="23"/>
    <x v="2"/>
    <x v="0"/>
    <x v="2"/>
  </r>
  <r>
    <s v="keira"/>
    <s v="افراد"/>
    <s v="القاهره الجديده "/>
    <x v="5"/>
    <x v="0"/>
    <s v="نوفال "/>
    <s v="بينك"/>
    <m/>
    <m/>
    <x v="2"/>
    <x v="14"/>
    <x v="7"/>
    <s v="١٤٠/١٠٠"/>
    <n v="1"/>
    <n v="12899"/>
    <n v="12899"/>
    <x v="1"/>
    <x v="28"/>
    <d v="2024-12-17T00:00:00"/>
    <n v="65"/>
    <d v="2024-11-02T00:00:00"/>
    <n v="20"/>
    <x v="2"/>
    <x v="0"/>
    <x v="1"/>
  </r>
  <r>
    <s v="tarek"/>
    <s v="افراد"/>
    <s v="مصر الجديده"/>
    <x v="5"/>
    <x v="0"/>
    <s v="كيفنج"/>
    <s v="ابيض"/>
    <m/>
    <m/>
    <x v="2"/>
    <x v="14"/>
    <x v="0"/>
    <n v="80"/>
    <n v="1"/>
    <n v="10499"/>
    <n v="10499"/>
    <x v="0"/>
    <x v="29"/>
    <d v="2024-12-19T00:00:00"/>
    <n v="64"/>
    <d v="2024-10-21T00:00:00"/>
    <n v="5"/>
    <x v="2"/>
    <x v="0"/>
    <x v="1"/>
  </r>
  <r>
    <s v="reem"/>
    <s v="افراد"/>
    <s v="البطاش اسكندريه"/>
    <x v="1"/>
    <x v="0"/>
    <s v="نوفال"/>
    <s v="بينك"/>
    <m/>
    <m/>
    <x v="2"/>
    <x v="14"/>
    <x v="7"/>
    <s v="١٠٠/١٤٠"/>
    <n v="1"/>
    <n v="12899"/>
    <n v="12899"/>
    <x v="0"/>
    <x v="30"/>
    <d v="2024-12-22T00:00:00"/>
    <n v="66"/>
    <d v="2024-12-03T00:00:00"/>
    <n v="47"/>
    <x v="0"/>
    <x v="0"/>
    <x v="1"/>
  </r>
  <r>
    <s v="هشام سامى"/>
    <s v="افراد"/>
    <s v="41 كومبوند جولدن جستس الدور 4 شقه 4"/>
    <x v="4"/>
    <x v="6"/>
    <s v="بلحه"/>
    <s v="نبيتى "/>
    <s v="خشب بنى فاتح"/>
    <m/>
    <x v="2"/>
    <x v="14"/>
    <x v="8"/>
    <n v="140"/>
    <n v="1"/>
    <n v="5135"/>
    <n v="5135"/>
    <x v="0"/>
    <x v="31"/>
    <d v="2024-11-17T00:00:00"/>
    <n v="28"/>
    <d v="2024-11-14T00:00:00"/>
    <n v="25"/>
    <x v="2"/>
    <x v="0"/>
    <x v="1"/>
  </r>
  <r>
    <s v="شيك هومز"/>
    <s v="شركات"/>
    <s v="اكتوبر الجيزه"/>
    <x v="0"/>
    <x v="1"/>
    <s v="فانتستيك"/>
    <s v="الوان"/>
    <m/>
    <m/>
    <x v="2"/>
    <x v="14"/>
    <x v="9"/>
    <n v="100"/>
    <n v="1"/>
    <n v="12777.5"/>
    <n v="12777.5"/>
    <x v="1"/>
    <x v="32"/>
    <d v="2024-11-12T00:00:00"/>
    <n v="21"/>
    <d v="2024-11-18T00:00:00"/>
    <n v="27"/>
    <x v="2"/>
    <x v="0"/>
    <x v="2"/>
  </r>
  <r>
    <s v="شيك هومز"/>
    <s v="شركات"/>
    <s v="اكتوبر الجيزه"/>
    <x v="0"/>
    <x v="1"/>
    <s v="فانتستيك"/>
    <s v="الوان"/>
    <m/>
    <m/>
    <x v="2"/>
    <x v="14"/>
    <x v="9"/>
    <n v="100"/>
    <n v="1"/>
    <n v="12777.5"/>
    <n v="12777.5"/>
    <x v="1"/>
    <x v="32"/>
    <d v="2024-11-12T00:00:00"/>
    <n v="21"/>
    <d v="2024-11-18T00:00:00"/>
    <n v="27"/>
    <x v="2"/>
    <x v="0"/>
    <x v="2"/>
  </r>
  <r>
    <s v="اوسكار راتن"/>
    <s v="شركات"/>
    <s v="المعرض مدينه نصر"/>
    <x v="5"/>
    <x v="4"/>
    <s v="فانتستيك"/>
    <s v="الوان"/>
    <m/>
    <m/>
    <x v="2"/>
    <x v="14"/>
    <x v="9"/>
    <n v="100"/>
    <n v="1"/>
    <n v="8544.91"/>
    <n v="8544.91"/>
    <x v="2"/>
    <x v="32"/>
    <m/>
    <n v="0"/>
    <m/>
    <n v="0"/>
    <x v="1"/>
    <x v="1"/>
    <x v="0"/>
  </r>
  <r>
    <s v="فاطمه محمد"/>
    <s v="افراد"/>
    <s v="أكتوبر الجيزه"/>
    <x v="0"/>
    <x v="0"/>
    <s v="فورجينا"/>
    <s v="ابيض"/>
    <m/>
    <m/>
    <x v="2"/>
    <x v="14"/>
    <x v="0"/>
    <n v="120"/>
    <n v="1"/>
    <n v="8943"/>
    <n v="8943"/>
    <x v="1"/>
    <x v="33"/>
    <d v="2024-11-14T00:00:00"/>
    <n v="24"/>
    <d v="2024-11-18T00:00:00"/>
    <n v="28"/>
    <x v="2"/>
    <x v="0"/>
    <x v="2"/>
  </r>
  <r>
    <s v="شيك هومز"/>
    <s v="شركات"/>
    <m/>
    <x v="4"/>
    <x v="1"/>
    <m/>
    <s v="اسود"/>
    <m/>
    <m/>
    <x v="2"/>
    <x v="14"/>
    <x v="1"/>
    <m/>
    <n v="1"/>
    <n v="15516"/>
    <n v="15516"/>
    <x v="0"/>
    <x v="34"/>
    <d v="2024-11-14T00:00:00"/>
    <n v="21"/>
    <d v="2024-10-30T00:00:00"/>
    <n v="6"/>
    <x v="2"/>
    <x v="0"/>
    <x v="1"/>
  </r>
  <r>
    <s v="شيك هومز"/>
    <s v="شركات"/>
    <m/>
    <x v="4"/>
    <x v="1"/>
    <s v="كينج"/>
    <s v="اسود"/>
    <m/>
    <m/>
    <x v="2"/>
    <x v="14"/>
    <x v="1"/>
    <n v="100"/>
    <n v="1"/>
    <n v="10045"/>
    <n v="10045"/>
    <x v="1"/>
    <x v="35"/>
    <d v="2024-11-16T00:00:00"/>
    <n v="21"/>
    <m/>
    <n v="0"/>
    <x v="1"/>
    <x v="1"/>
    <x v="1"/>
  </r>
  <r>
    <s v="ساره"/>
    <s v="افراد"/>
    <s v="الشيخ زايد اكتوبر"/>
    <x v="0"/>
    <x v="0"/>
    <s v="كينج"/>
    <s v="اسود"/>
    <m/>
    <m/>
    <x v="2"/>
    <x v="14"/>
    <x v="1"/>
    <n v="90"/>
    <n v="1"/>
    <n v="11649"/>
    <n v="11649"/>
    <x v="1"/>
    <x v="35"/>
    <d v="2024-11-10T00:00:00"/>
    <n v="15"/>
    <d v="2024-11-18T00:00:00"/>
    <n v="23"/>
    <x v="2"/>
    <x v="0"/>
    <x v="2"/>
  </r>
  <r>
    <s v="ساره"/>
    <s v="افراد"/>
    <s v="الشيخ زايد اكتوبر"/>
    <x v="0"/>
    <x v="0"/>
    <s v="كينج"/>
    <s v="اسود"/>
    <m/>
    <m/>
    <x v="2"/>
    <x v="14"/>
    <x v="1"/>
    <n v="90"/>
    <n v="1"/>
    <n v="11649"/>
    <n v="11649"/>
    <x v="1"/>
    <x v="35"/>
    <d v="2024-11-10T00:00:00"/>
    <n v="15"/>
    <d v="2024-11-18T00:00:00"/>
    <n v="23"/>
    <x v="2"/>
    <x v="0"/>
    <x v="2"/>
  </r>
  <r>
    <s v="بولا هومزمارت"/>
    <s v="افراد"/>
    <s v="المعادى"/>
    <x v="5"/>
    <x v="0"/>
    <s v="اسبانى"/>
    <s v="ابيض"/>
    <m/>
    <m/>
    <x v="2"/>
    <x v="14"/>
    <x v="0"/>
    <n v="100"/>
    <n v="1"/>
    <n v="5100"/>
    <n v="5100"/>
    <x v="1"/>
    <x v="36"/>
    <d v="2024-11-11T00:00:00"/>
    <n v="14"/>
    <d v="2024-11-21T00:00:00"/>
    <n v="24"/>
    <x v="2"/>
    <x v="0"/>
    <x v="2"/>
  </r>
  <r>
    <s v="بولا هومزمارت"/>
    <s v="افراد"/>
    <s v="المعادى"/>
    <x v="5"/>
    <x v="0"/>
    <s v="اسبانى"/>
    <s v="ابيض"/>
    <m/>
    <m/>
    <x v="2"/>
    <x v="14"/>
    <x v="0"/>
    <n v="120"/>
    <n v="1"/>
    <n v="5300"/>
    <n v="5300"/>
    <x v="1"/>
    <x v="36"/>
    <d v="2024-11-11T00:00:00"/>
    <n v="14"/>
    <d v="2024-11-21T00:00:00"/>
    <n v="24"/>
    <x v="2"/>
    <x v="0"/>
    <x v="2"/>
  </r>
  <r>
    <s v="محمد شكرى "/>
    <s v="افراد"/>
    <s v="مدينتى"/>
    <x v="5"/>
    <x v="0"/>
    <s v="كيفنج"/>
    <s v="ابيض"/>
    <m/>
    <m/>
    <x v="2"/>
    <x v="14"/>
    <x v="0"/>
    <n v="80"/>
    <n v="1"/>
    <n v="12099"/>
    <n v="12099"/>
    <x v="0"/>
    <x v="37"/>
    <d v="2024-11-26T00:00:00"/>
    <n v="15"/>
    <d v="2024-11-27T00:00:00"/>
    <n v="16"/>
    <x v="2"/>
    <x v="0"/>
    <x v="2"/>
  </r>
  <r>
    <s v="شيك هومز"/>
    <s v="شركات"/>
    <s v="مخزن شيك هومز"/>
    <x v="4"/>
    <x v="1"/>
    <s v="ارينا"/>
    <s v="اسود "/>
    <s v="بترولى"/>
    <m/>
    <x v="2"/>
    <x v="14"/>
    <x v="1"/>
    <m/>
    <n v="1"/>
    <n v="15872"/>
    <n v="15872"/>
    <x v="0"/>
    <x v="38"/>
    <d v="2024-03-12T00:00:00"/>
    <n v="-241"/>
    <d v="2024-11-14T00:00:00"/>
    <n v="6"/>
    <x v="2"/>
    <x v="0"/>
    <x v="2"/>
  </r>
  <r>
    <s v="منزلى"/>
    <s v="افراد"/>
    <s v="التجمع الخامس"/>
    <x v="5"/>
    <x v="6"/>
    <s v="فورجينا"/>
    <s v="ابيض"/>
    <m/>
    <m/>
    <x v="2"/>
    <x v="14"/>
    <x v="0"/>
    <n v="120"/>
    <n v="1"/>
    <n v="4520"/>
    <n v="4520"/>
    <x v="2"/>
    <x v="39"/>
    <d v="2024-11-22T00:00:00"/>
    <n v="12"/>
    <d v="2024-11-21T00:00:00"/>
    <n v="11"/>
    <x v="2"/>
    <x v="0"/>
    <x v="1"/>
  </r>
  <r>
    <s v="اوسكار راتن"/>
    <s v="شركات"/>
    <s v="المخزن ابو الغيط "/>
    <x v="6"/>
    <x v="4"/>
    <s v="كينج"/>
    <s v="اسود"/>
    <m/>
    <m/>
    <x v="2"/>
    <x v="14"/>
    <x v="1"/>
    <n v="90"/>
    <n v="1"/>
    <n v="5766"/>
    <n v="5766"/>
    <x v="2"/>
    <x v="40"/>
    <d v="2024-11-26T00:00:00"/>
    <n v="14"/>
    <d v="2024-11-25T00:00:00"/>
    <n v="13"/>
    <x v="2"/>
    <x v="0"/>
    <x v="1"/>
  </r>
  <r>
    <s v="حماده"/>
    <s v="افراد"/>
    <s v="المعادى"/>
    <x v="5"/>
    <x v="0"/>
    <s v="فورجينا"/>
    <s v="بنفسجى"/>
    <m/>
    <m/>
    <x v="2"/>
    <x v="14"/>
    <x v="10"/>
    <n v="160"/>
    <n v="1"/>
    <n v="11395"/>
    <n v="11395"/>
    <x v="0"/>
    <x v="40"/>
    <d v="2024-11-24T00:00:00"/>
    <n v="12"/>
    <d v="2024-11-27T00:00:00"/>
    <n v="15"/>
    <x v="2"/>
    <x v="0"/>
    <x v="2"/>
  </r>
  <r>
    <s v="صفاء عبد الباقي"/>
    <s v="افراد"/>
    <s v="التجمع الخامس"/>
    <x v="5"/>
    <x v="0"/>
    <s v="كينج "/>
    <s v="ابيض"/>
    <m/>
    <m/>
    <x v="2"/>
    <x v="14"/>
    <x v="0"/>
    <n v="80"/>
    <n v="1"/>
    <n v="12919"/>
    <n v="12919"/>
    <x v="0"/>
    <x v="41"/>
    <d v="2024-11-30T00:00:00"/>
    <n v="16"/>
    <d v="2024-11-27T00:00:00"/>
    <n v="13"/>
    <x v="2"/>
    <x v="0"/>
    <x v="1"/>
  </r>
  <r>
    <s v="اوسكار راتن"/>
    <s v="شركات"/>
    <s v="المخزن ابو الغيط "/>
    <x v="6"/>
    <x v="4"/>
    <s v="نوفال"/>
    <s v="رمادى"/>
    <m/>
    <m/>
    <x v="2"/>
    <x v="14"/>
    <x v="4"/>
    <n v="120"/>
    <n v="1"/>
    <n v="6376"/>
    <n v="6376"/>
    <x v="2"/>
    <x v="41"/>
    <d v="2024-11-27T00:00:00"/>
    <n v="13"/>
    <d v="2024-11-25T00:00:00"/>
    <n v="11"/>
    <x v="2"/>
    <x v="0"/>
    <x v="1"/>
  </r>
  <r>
    <s v="اوسكار راتن"/>
    <s v="شركات"/>
    <s v="المخزن"/>
    <x v="4"/>
    <x v="4"/>
    <s v="نوفال"/>
    <s v="اسود"/>
    <m/>
    <m/>
    <x v="2"/>
    <x v="14"/>
    <x v="1"/>
    <n v="90"/>
    <n v="1"/>
    <n v="5294"/>
    <n v="5294"/>
    <x v="2"/>
    <x v="41"/>
    <d v="2024-11-27T00:00:00"/>
    <n v="13"/>
    <d v="2024-11-25T00:00:00"/>
    <n v="11"/>
    <x v="2"/>
    <x v="0"/>
    <x v="1"/>
  </r>
  <r>
    <s v="رندا العامرى "/>
    <s v="افراد"/>
    <s v="٦ اكتوبر الجيزه "/>
    <x v="0"/>
    <x v="7"/>
    <s v="كيفنج "/>
    <s v="ابيض"/>
    <m/>
    <m/>
    <x v="2"/>
    <x v="14"/>
    <x v="0"/>
    <n v="80"/>
    <n v="1"/>
    <n v="7396"/>
    <n v="7396"/>
    <x v="0"/>
    <x v="42"/>
    <d v="2024-11-28T00:00:00"/>
    <n v="11"/>
    <d v="2024-11-26T00:00:00"/>
    <n v="9"/>
    <x v="2"/>
    <x v="0"/>
    <x v="1"/>
  </r>
  <r>
    <s v="ساره"/>
    <s v="افراد"/>
    <s v="٦ اكتوبر الجيزه"/>
    <x v="0"/>
    <x v="0"/>
    <s v="كينج"/>
    <s v="اسود"/>
    <m/>
    <m/>
    <x v="2"/>
    <x v="14"/>
    <x v="1"/>
    <n v="90"/>
    <n v="1"/>
    <n v="13439"/>
    <n v="13439"/>
    <x v="1"/>
    <x v="43"/>
    <d v="2024-12-05T00:00:00"/>
    <n v="15"/>
    <d v="2024-11-26T00:00:00"/>
    <n v="6"/>
    <x v="2"/>
    <x v="0"/>
    <x v="1"/>
  </r>
  <r>
    <s v="تاكى "/>
    <s v="شركات"/>
    <s v="العباسيه "/>
    <x v="5"/>
    <x v="3"/>
    <s v="امريكى"/>
    <s v="اسود"/>
    <m/>
    <m/>
    <x v="2"/>
    <x v="14"/>
    <x v="1"/>
    <n v="160"/>
    <n v="1"/>
    <n v="5100"/>
    <n v="5100"/>
    <x v="2"/>
    <x v="41"/>
    <d v="2024-12-08T00:00:00"/>
    <n v="24"/>
    <m/>
    <n v="0"/>
    <x v="1"/>
    <x v="3"/>
    <x v="1"/>
  </r>
  <r>
    <s v="محمد حمدى"/>
    <s v="افراد"/>
    <s v="مصر الجديده"/>
    <x v="5"/>
    <x v="2"/>
    <s v="كوين "/>
    <s v="دهبي"/>
    <s v="ابيض"/>
    <m/>
    <x v="2"/>
    <x v="14"/>
    <x v="11"/>
    <n v="160"/>
    <n v="1"/>
    <n v="6000"/>
    <n v="6000"/>
    <x v="1"/>
    <x v="44"/>
    <d v="2024-12-02T00:00:00"/>
    <n v="10"/>
    <d v="2024-11-27T00:00:00"/>
    <n v="5"/>
    <x v="2"/>
    <x v="0"/>
    <x v="1"/>
  </r>
  <r>
    <s v="بافلى هانى "/>
    <s v="افراد"/>
    <s v="شبرا "/>
    <x v="4"/>
    <x v="0"/>
    <s v="اسبانى "/>
    <s v="رمادى"/>
    <m/>
    <m/>
    <x v="2"/>
    <x v="14"/>
    <x v="4"/>
    <n v="120"/>
    <n v="1"/>
    <n v="10885"/>
    <n v="10885"/>
    <x v="1"/>
    <x v="45"/>
    <d v="2024-12-05T00:00:00"/>
    <n v="11"/>
    <d v="2024-12-10T00:00:00"/>
    <n v="16"/>
    <x v="2"/>
    <x v="0"/>
    <x v="2"/>
  </r>
  <r>
    <s v="تاكى "/>
    <s v="شركات"/>
    <s v="العباسيه "/>
    <x v="5"/>
    <x v="3"/>
    <s v="t1"/>
    <m/>
    <m/>
    <m/>
    <x v="2"/>
    <x v="14"/>
    <x v="3"/>
    <m/>
    <n v="1"/>
    <n v="6000"/>
    <n v="6000"/>
    <x v="1"/>
    <x v="46"/>
    <d v="2024-12-05T00:00:00"/>
    <n v="16"/>
    <d v="2024-11-20T00:00:00"/>
    <n v="1"/>
    <x v="4"/>
    <x v="0"/>
    <x v="1"/>
  </r>
  <r>
    <s v="رنا ميلاد"/>
    <s v="افراد"/>
    <s v="جليم الإسكندرية "/>
    <x v="1"/>
    <x v="0"/>
    <s v="مكتبه"/>
    <m/>
    <m/>
    <m/>
    <x v="2"/>
    <x v="14"/>
    <x v="3"/>
    <m/>
    <n v="1"/>
    <n v="8449"/>
    <n v="8449"/>
    <x v="0"/>
    <x v="47"/>
    <d v="2024-12-10T00:00:00"/>
    <n v="13"/>
    <d v="2024-12-23T00:00:00"/>
    <n v="26"/>
    <x v="0"/>
    <x v="0"/>
    <x v="2"/>
  </r>
  <r>
    <s v="محمد ناجى"/>
    <s v="افراد"/>
    <s v="مدينه نصر "/>
    <x v="5"/>
    <x v="0"/>
    <s v="ميكانزم"/>
    <s v="ابيض"/>
    <s v="ابيض في بنى غامق"/>
    <m/>
    <x v="2"/>
    <x v="14"/>
    <x v="0"/>
    <m/>
    <n v="1"/>
    <n v="10249"/>
    <n v="10249"/>
    <x v="1"/>
    <x v="47"/>
    <d v="2024-12-10T00:00:00"/>
    <n v="13"/>
    <d v="2024-12-19T00:00:00"/>
    <n v="22"/>
    <x v="2"/>
    <x v="0"/>
    <x v="2"/>
  </r>
  <r>
    <s v="احمد عبد الستار"/>
    <s v="افراد"/>
    <s v="المندره اسكندريه"/>
    <x v="1"/>
    <x v="0"/>
    <s v="كيفنج"/>
    <s v="اسود"/>
    <m/>
    <m/>
    <x v="2"/>
    <x v="14"/>
    <x v="1"/>
    <n v="100"/>
    <n v="1"/>
    <n v="14905"/>
    <n v="14905"/>
    <x v="0"/>
    <x v="48"/>
    <d v="2024-12-15T00:00:00"/>
    <n v="16"/>
    <m/>
    <n v="0"/>
    <x v="1"/>
    <x v="1"/>
    <x v="1"/>
  </r>
  <r>
    <s v="نور "/>
    <s v="افراد"/>
    <s v="القاهره الجديده"/>
    <x v="5"/>
    <x v="0"/>
    <s v="ميكانزم"/>
    <s v="اسود "/>
    <s v="بنى غامق"/>
    <m/>
    <x v="2"/>
    <x v="14"/>
    <x v="1"/>
    <m/>
    <n v="1"/>
    <n v="10249"/>
    <n v="10249"/>
    <x v="0"/>
    <x v="49"/>
    <d v="2024-12-12T00:00:00"/>
    <n v="12"/>
    <m/>
    <n v="0"/>
    <x v="1"/>
    <x v="1"/>
    <x v="1"/>
  </r>
  <r>
    <s v="نور"/>
    <s v="افراد"/>
    <s v="القاهره الجديده"/>
    <x v="5"/>
    <x v="0"/>
    <m/>
    <s v="اسود"/>
    <s v="بنى غامق"/>
    <m/>
    <x v="2"/>
    <x v="14"/>
    <x v="1"/>
    <m/>
    <n v="1"/>
    <n v="9029"/>
    <n v="9029"/>
    <x v="0"/>
    <x v="49"/>
    <d v="2024-12-12T00:00:00"/>
    <n v="12"/>
    <m/>
    <n v="0"/>
    <x v="1"/>
    <x v="1"/>
    <x v="1"/>
  </r>
  <r>
    <s v="تامر"/>
    <s v="افراد"/>
    <s v="العين السخنه"/>
    <x v="7"/>
    <x v="0"/>
    <m/>
    <s v="اسود "/>
    <s v="بيج"/>
    <m/>
    <x v="2"/>
    <x v="14"/>
    <x v="1"/>
    <m/>
    <n v="1"/>
    <n v="9029"/>
    <n v="9029"/>
    <x v="0"/>
    <x v="49"/>
    <d v="2024-12-12T00:00:00"/>
    <n v="12"/>
    <m/>
    <n v="0"/>
    <x v="1"/>
    <x v="3"/>
    <x v="1"/>
  </r>
  <r>
    <s v="هناء اسامه"/>
    <s v="افراد"/>
    <s v="القطاميه"/>
    <x v="5"/>
    <x v="0"/>
    <s v="نوفال"/>
    <s v="ابيض"/>
    <m/>
    <m/>
    <x v="2"/>
    <x v="14"/>
    <x v="0"/>
    <n v="80"/>
    <n v="1"/>
    <n v="12099"/>
    <n v="12099"/>
    <x v="0"/>
    <x v="50"/>
    <d v="2024-12-17T00:00:00"/>
    <n v="15"/>
    <m/>
    <n v="0"/>
    <x v="1"/>
    <x v="1"/>
    <x v="1"/>
  </r>
  <r>
    <s v="اوسكار راتن"/>
    <s v="شركات"/>
    <s v="المخزن ابو الغيط "/>
    <x v="6"/>
    <x v="4"/>
    <s v="كيفنج "/>
    <s v="ازرق"/>
    <m/>
    <m/>
    <x v="2"/>
    <x v="14"/>
    <x v="2"/>
    <n v="90"/>
    <n v="1"/>
    <n v="5217"/>
    <n v="5217"/>
    <x v="2"/>
    <x v="51"/>
    <d v="2024-12-14T00:00:00"/>
    <n v="13"/>
    <d v="2024-12-10T00:00:00"/>
    <n v="9"/>
    <x v="2"/>
    <x v="0"/>
    <x v="1"/>
  </r>
  <r>
    <s v="محمد عادل "/>
    <s v="افراد"/>
    <s v="العبور"/>
    <x v="6"/>
    <x v="0"/>
    <m/>
    <s v="اسود"/>
    <s v="اسود"/>
    <m/>
    <x v="2"/>
    <x v="14"/>
    <x v="1"/>
    <m/>
    <n v="1"/>
    <n v="10249"/>
    <n v="10249"/>
    <x v="1"/>
    <x v="52"/>
    <d v="2024-12-14T00:00:00"/>
    <n v="10"/>
    <d v="2024-12-19T00:00:00"/>
    <n v="15"/>
    <x v="2"/>
    <x v="0"/>
    <x v="2"/>
  </r>
  <r>
    <s v="مريم عنان"/>
    <s v="افراد"/>
    <s v="اب تاون كايرو التجمع "/>
    <x v="5"/>
    <x v="1"/>
    <s v="كينج"/>
    <s v="اسود"/>
    <m/>
    <m/>
    <x v="2"/>
    <x v="14"/>
    <x v="1"/>
    <m/>
    <n v="1"/>
    <n v="10445"/>
    <n v="10445"/>
    <x v="1"/>
    <x v="53"/>
    <d v="2024-12-31T00:00:00"/>
    <n v="22"/>
    <d v="2024-12-12T00:00:00"/>
    <n v="3"/>
    <x v="2"/>
    <x v="0"/>
    <x v="1"/>
  </r>
  <r>
    <s v="هبه عطيه "/>
    <s v="افراد"/>
    <s v="القاهره الجديده"/>
    <x v="5"/>
    <x v="0"/>
    <s v="ميكانزم"/>
    <s v="اسود "/>
    <s v="بنى غامق"/>
    <m/>
    <x v="2"/>
    <x v="14"/>
    <x v="1"/>
    <m/>
    <n v="1"/>
    <n v="11199"/>
    <n v="11199"/>
    <x v="1"/>
    <x v="54"/>
    <d v="2024-12-24T00:00:00"/>
    <n v="12"/>
    <d v="2024-12-19T00:00:00"/>
    <n v="7"/>
    <x v="2"/>
    <x v="0"/>
    <x v="1"/>
  </r>
  <r>
    <s v="حمدى ذكرى"/>
    <s v="افراد"/>
    <s v="٦ اكتوبر الجيزه"/>
    <x v="0"/>
    <x v="0"/>
    <s v="نوفال"/>
    <s v="اسود"/>
    <m/>
    <m/>
    <x v="2"/>
    <x v="14"/>
    <x v="1"/>
    <n v="80"/>
    <n v="1"/>
    <n v="13099"/>
    <n v="13099"/>
    <x v="1"/>
    <x v="54"/>
    <d v="2024-12-28T00:00:00"/>
    <n v="16"/>
    <d v="2024-12-29T00:00:00"/>
    <n v="17"/>
    <x v="2"/>
    <x v="0"/>
    <x v="2"/>
  </r>
  <r>
    <s v="شيك هومز"/>
    <s v="شركات"/>
    <s v="مخزن شيك هومز"/>
    <x v="4"/>
    <x v="1"/>
    <s v="ارينا"/>
    <s v="اسود "/>
    <s v="روك ١٠"/>
    <m/>
    <x v="2"/>
    <x v="14"/>
    <x v="1"/>
    <m/>
    <n v="1"/>
    <n v="8700"/>
    <n v="8700"/>
    <x v="2"/>
    <x v="55"/>
    <d v="2025-01-05T00:00:00"/>
    <n v="22"/>
    <d v="2024-12-29T00:00:00"/>
    <n v="15"/>
    <x v="2"/>
    <x v="0"/>
    <x v="1"/>
  </r>
  <r>
    <m/>
    <m/>
    <m/>
    <x v="4"/>
    <x v="8"/>
    <m/>
    <m/>
    <m/>
    <m/>
    <x v="2"/>
    <x v="14"/>
    <x v="3"/>
    <m/>
    <m/>
    <m/>
    <m/>
    <x v="4"/>
    <x v="7"/>
    <m/>
    <m/>
    <m/>
    <m/>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1420BC-EEEE-4DED-86F3-92918F6BBE1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B11:BD28" firstHeaderRow="1" firstDataRow="1" firstDataCol="0"/>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41B1E1-EA94-409F-B5A6-B411E82EA5B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S3:AT6"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axis="axisRow" dataField="1" showAll="0" sortType="ascending">
      <items count="6">
        <item x="3"/>
        <item x="0"/>
        <item x="4"/>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2"/>
  </rowFields>
  <rowItems count="3">
    <i>
      <x v="4"/>
    </i>
    <i>
      <x v="3"/>
    </i>
    <i t="grand">
      <x/>
    </i>
  </rowItems>
  <colItems count="1">
    <i/>
  </colItems>
  <dataFields count="1">
    <dataField name="Count of المسئول عن التسليم" fld="22"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395676-1D55-41C9-9FD5-F89F3E0065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V3:AW6"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axis="axisRow" dataField="1" showAll="0">
      <items count="4">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4"/>
  </rowFields>
  <rowItems count="3">
    <i>
      <x v="1"/>
    </i>
    <i>
      <x v="2"/>
    </i>
    <i t="grand">
      <x/>
    </i>
  </rowItems>
  <colItems count="1">
    <i/>
  </colItems>
  <dataFields count="1">
    <dataField name="Count of Column1" fld="24" subtotal="count" baseField="0" baseItem="0"/>
  </dataField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4" count="1" selected="0">
            <x v="0"/>
          </reference>
        </references>
      </pivotArea>
    </chartFormat>
    <chartFormat chart="4" format="7">
      <pivotArea type="data" outline="0" fieldPosition="0">
        <references count="2">
          <reference field="4294967294" count="1" selected="0">
            <x v="0"/>
          </reference>
          <reference field="24" count="1" selected="0">
            <x v="1"/>
          </reference>
        </references>
      </pivotArea>
    </chartFormat>
    <chartFormat chart="4" format="8">
      <pivotArea type="data" outline="0" fieldPosition="0">
        <references count="2">
          <reference field="4294967294" count="1" selected="0">
            <x v="0"/>
          </reference>
          <reference field="24" count="1" selected="0">
            <x v="2"/>
          </reference>
        </references>
      </pivotArea>
    </chartFormat>
    <chartFormat chart="2" format="1">
      <pivotArea type="data" outline="0" fieldPosition="0">
        <references count="2">
          <reference field="4294967294" count="1" selected="0">
            <x v="0"/>
          </reference>
          <reference field="24" count="1" selected="0">
            <x v="0"/>
          </reference>
        </references>
      </pivotArea>
    </chartFormat>
    <chartFormat chart="2" format="2">
      <pivotArea type="data" outline="0" fieldPosition="0">
        <references count="2">
          <reference field="4294967294" count="1" selected="0">
            <x v="0"/>
          </reference>
          <reference field="24" count="1" selected="0">
            <x v="1"/>
          </reference>
        </references>
      </pivotArea>
    </chartFormat>
    <chartFormat chart="2" format="3">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0EACA4-B071-416D-89A1-B0311259B4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3" firstHeaderRow="1" firstDataRow="1" firstDataCol="1"/>
  <pivotFields count="27">
    <pivotField showAll="0"/>
    <pivotField showAll="0"/>
    <pivotField showAll="0"/>
    <pivotField showAll="0">
      <items count="10">
        <item x="8"/>
        <item x="1"/>
        <item x="3"/>
        <item x="0"/>
        <item x="7"/>
        <item x="5"/>
        <item x="6"/>
        <item x="2"/>
        <item x="4"/>
        <item t="default"/>
      </items>
    </pivotField>
    <pivotField axis="axisRow" dataField="1" showAll="0" sortType="ascending">
      <items count="10">
        <item h="1" x="5"/>
        <item h="1" x="4"/>
        <item x="3"/>
        <item h="1" x="1"/>
        <item h="1" x="2"/>
        <item h="1" x="7"/>
        <item h="1" x="6"/>
        <item h="1" x="0"/>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v="2"/>
    </i>
    <i t="grand">
      <x/>
    </i>
  </rowItems>
  <colItems count="1">
    <i/>
  </colItems>
  <dataFields count="1">
    <dataField name="Count of منصة البيع " fld="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BE5886-7870-43C3-BA50-83E6C73DD75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E2:BG19" firstHeaderRow="1" firstDataRow="1" firstDataCol="0"/>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D24FDD-4F9F-43BA-A0B4-6DDD8A9071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4:AL5" firstHeaderRow="1" firstDataRow="1" firstDataCol="0"/>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dataField="1"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الكمية"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8B6448-7AAD-4A0E-B1FE-C0B0B7B36E8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4:AJ5" firstHeaderRow="1" firstDataRow="1" firstDataCol="0"/>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dataField="1"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الاجمالي" fld="15"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1B6FFC-D7D0-4E45-B40D-1876480400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V4"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axis="axisRow" dataField="1" showAll="0">
      <items count="19">
        <item x="16"/>
        <item x="13"/>
        <item x="11"/>
        <item x="17"/>
        <item x="6"/>
        <item x="7"/>
        <item x="5"/>
        <item x="8"/>
        <item x="10"/>
        <item x="12"/>
        <item x="2"/>
        <item x="4"/>
        <item x="15"/>
        <item x="1"/>
        <item x="9"/>
        <item x="0"/>
        <item x="3"/>
        <item x="14"/>
        <item t="default"/>
      </items>
    </pivotField>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2">
    <i>
      <x v="5"/>
    </i>
    <i t="grand">
      <x/>
    </i>
  </rowItems>
  <colItems count="1">
    <i/>
  </colItems>
  <dataFields count="1">
    <dataField name="Count of النوع"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C033E4-D09B-4501-B9CC-4F78DB6906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X3:Y6"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axis="axisRow" dataField="1" showAll="0">
      <items count="5">
        <item x="0"/>
        <item x="1"/>
        <item x="2"/>
        <item h="1"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3"/>
  </rowFields>
  <rowItems count="3">
    <i>
      <x/>
    </i>
    <i>
      <x v="1"/>
    </i>
    <i t="grand">
      <x/>
    </i>
  </rowItems>
  <colItems count="1">
    <i/>
  </colItems>
  <dataFields count="1">
    <dataField name="Count of الحالة" fld="23" subtotal="count" showDataAs="percentOfTotal" baseField="23" baseItem="0" numFmtId="1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3"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3" count="1" selected="0">
            <x v="0"/>
          </reference>
        </references>
      </pivotArea>
    </chartFormat>
    <chartFormat chart="3" format="8">
      <pivotArea type="data" outline="0" fieldPosition="0">
        <references count="2">
          <reference field="4294967294" count="1" selected="0">
            <x v="0"/>
          </reference>
          <reference field="23" count="1" selected="0">
            <x v="1"/>
          </reference>
        </references>
      </pivotArea>
    </chartFormat>
    <chartFormat chart="3" format="9">
      <pivotArea type="data" outline="0" fieldPosition="0">
        <references count="2">
          <reference field="4294967294" count="1" selected="0">
            <x v="0"/>
          </reference>
          <reference field="23" count="1" selected="0">
            <x v="2"/>
          </reference>
        </references>
      </pivotArea>
    </chartFormat>
    <chartFormat chart="1" format="2">
      <pivotArea type="data" outline="0" fieldPosition="0">
        <references count="2">
          <reference field="4294967294" count="1" selected="0">
            <x v="0"/>
          </reference>
          <reference field="23" count="1" selected="0">
            <x v="1"/>
          </reference>
        </references>
      </pivotArea>
    </chartFormat>
    <chartFormat chart="1" format="3">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A1F141-8BDD-458E-8CBF-C48E39C14F4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Z2:BA4"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dataField="1"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x="1"/>
        <item x="2"/>
        <item x="3"/>
        <item x="4"/>
        <item x="5"/>
        <item x="6"/>
        <item x="7"/>
        <item x="8"/>
        <item x="9"/>
        <item x="10"/>
        <item x="11"/>
        <item x="12"/>
        <item x="13"/>
        <item t="default"/>
      </items>
    </pivotField>
  </pivotFields>
  <rowFields count="1">
    <field x="26"/>
  </rowFields>
  <rowItems count="2">
    <i>
      <x v="8"/>
    </i>
    <i t="grand">
      <x/>
    </i>
  </rowItems>
  <colItems count="1">
    <i/>
  </colItems>
  <dataFields count="1">
    <dataField name="Sum of الاجمالي" fld="15"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6" count="1" selected="0">
            <x v="11"/>
          </reference>
        </references>
      </pivotArea>
    </chartFormat>
    <chartFormat chart="2" format="10">
      <pivotArea type="data" outline="0" fieldPosition="0">
        <references count="2">
          <reference field="4294967294" count="1" selected="0">
            <x v="0"/>
          </reference>
          <reference field="2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86F767-7775-4170-8CAA-B3A446C0B2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4:AN5" firstHeaderRow="1" firstDataRow="1" firstDataCol="0"/>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dataField="1"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الاجمالي" fld="1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9FA4E2-81BE-4588-B4AB-06ECF98B4B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E4:AF6"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showAll="0"/>
    <pivotField axis="axisRow" dataField="1" showAll="0">
      <items count="6">
        <item x="3"/>
        <item x="2"/>
        <item x="1"/>
        <item x="0"/>
        <item x="4"/>
        <item t="default"/>
      </items>
    </pivotField>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2">
    <i>
      <x v="2"/>
    </i>
    <i t="grand">
      <x/>
    </i>
  </rowItems>
  <colItems count="1">
    <i/>
  </colItems>
  <dataFields count="1">
    <dataField name="Count of طريقة الدفع" fld="16" subtotal="count" showDataAs="percentOfTotal" baseField="16" baseItem="0" numFmtId="10"/>
  </dataFields>
  <chartFormats count="11">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0"/>
          </reference>
        </references>
      </pivotArea>
    </chartFormat>
    <chartFormat chart="3" format="8">
      <pivotArea type="data" outline="0" fieldPosition="0">
        <references count="2">
          <reference field="4294967294" count="1" selected="0">
            <x v="0"/>
          </reference>
          <reference field="16" count="1" selected="0">
            <x v="1"/>
          </reference>
        </references>
      </pivotArea>
    </chartFormat>
    <chartFormat chart="3" format="9">
      <pivotArea type="data" outline="0" fieldPosition="0">
        <references count="2">
          <reference field="4294967294" count="1" selected="0">
            <x v="0"/>
          </reference>
          <reference field="16" count="1" selected="0">
            <x v="2"/>
          </reference>
        </references>
      </pivotArea>
    </chartFormat>
    <chartFormat chart="3" format="10">
      <pivotArea type="data" outline="0" fieldPosition="0">
        <references count="2">
          <reference field="4294967294" count="1" selected="0">
            <x v="0"/>
          </reference>
          <reference field="16" count="1" selected="0">
            <x v="3"/>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 chart="1" format="3">
      <pivotArea type="data" outline="0" fieldPosition="0">
        <references count="2">
          <reference field="4294967294" count="1" selected="0">
            <x v="0"/>
          </reference>
          <reference field="16" count="1" selected="0">
            <x v="2"/>
          </reference>
        </references>
      </pivotArea>
    </chartFormat>
    <chartFormat chart="1" format="4">
      <pivotArea type="data" outline="0" fieldPosition="0">
        <references count="2">
          <reference field="4294967294" count="1" selected="0">
            <x v="0"/>
          </reference>
          <reference field="16" count="1" selected="0">
            <x v="3"/>
          </reference>
        </references>
      </pivotArea>
    </chartFormat>
    <chartFormat chart="3" format="11">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5F95A8-34DE-4931-932A-F3BE9A604B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R2:S4"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axis="axisRow" dataField="1" showAll="0" sortType="ascending">
      <items count="16">
        <item x="0"/>
        <item x="2"/>
        <item x="1"/>
        <item m="1" x="14"/>
        <item x="4"/>
        <item x="3"/>
        <item x="5"/>
        <item m="1" x="12"/>
        <item x="6"/>
        <item m="1" x="13"/>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2">
    <i>
      <x v="5"/>
    </i>
    <i t="grand">
      <x/>
    </i>
  </rowItems>
  <colItems count="1">
    <i/>
  </colItems>
  <dataFields count="1">
    <dataField name="Count of اللون" fld="11" subtotal="count"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C6B1DE9-91B5-41BC-8A3A-18158942B8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2:P4"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axis="axisRow" dataField="1" showAll="0" sortType="ascending">
      <items count="5">
        <item h="1" x="1"/>
        <item h="1" x="0"/>
        <item x="3"/>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
    <i>
      <x v="2"/>
    </i>
    <i t="grand">
      <x/>
    </i>
  </rowItems>
  <colItems count="1">
    <i/>
  </colItems>
  <dataFields count="1">
    <dataField name="Count of الصنف" fld="9"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63F124-CF4E-4520-A228-0A4DFFA81D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L2:M4" firstHeaderRow="1" firstDataRow="1" firstDataCol="1"/>
  <pivotFields count="27">
    <pivotField showAll="0"/>
    <pivotField showAll="0"/>
    <pivotField showAll="0"/>
    <pivotField axis="axisRow" dataField="1" showAll="0" sortType="ascending">
      <items count="10">
        <item x="8"/>
        <item x="1"/>
        <item x="3"/>
        <item x="0"/>
        <item x="7"/>
        <item x="5"/>
        <item x="6"/>
        <item x="2"/>
        <item x="4"/>
        <item t="default"/>
      </items>
      <autoSortScope>
        <pivotArea dataOnly="0" outline="0" fieldPosition="0">
          <references count="1">
            <reference field="4294967294" count="1" selected="0">
              <x v="0"/>
            </reference>
          </references>
        </pivotArea>
      </autoSortScope>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5"/>
    </i>
    <i t="grand">
      <x/>
    </i>
  </rowItems>
  <colItems count="1">
    <i/>
  </colItems>
  <dataFields count="1">
    <dataField name="Count of المحافظة " fld="3" subtotal="count"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CDFA00-1822-4981-9DFD-DBD9A71D837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4:AQ7" firstHeaderRow="1" firstDataRow="1" firstDataCol="1"/>
  <pivotFields count="27">
    <pivotField showAll="0"/>
    <pivotField showAll="0"/>
    <pivotField showAll="0"/>
    <pivotField showAll="0">
      <items count="10">
        <item x="8"/>
        <item x="1"/>
        <item x="3"/>
        <item x="0"/>
        <item x="7"/>
        <item x="5"/>
        <item x="6"/>
        <item x="2"/>
        <item x="4"/>
        <item t="default"/>
      </items>
    </pivotField>
    <pivotField showAll="0">
      <items count="10">
        <item h="1" x="5"/>
        <item h="1" x="4"/>
        <item x="3"/>
        <item h="1" x="1"/>
        <item h="1" x="2"/>
        <item h="1" x="7"/>
        <item h="1" x="6"/>
        <item h="1" x="0"/>
        <item h="1" x="8"/>
        <item t="default"/>
      </items>
    </pivotField>
    <pivotField showAll="0"/>
    <pivotField showAll="0"/>
    <pivotField showAll="0"/>
    <pivotField showAll="0"/>
    <pivotField showAll="0">
      <items count="5">
        <item h="1" x="1"/>
        <item h="1" x="0"/>
        <item x="3"/>
        <item h="1" x="2"/>
        <item t="default"/>
      </items>
    </pivotField>
    <pivotField showAll="0"/>
    <pivotField showAll="0"/>
    <pivotField showAll="0"/>
    <pivotField showAll="0"/>
    <pivotField showAll="0"/>
    <pivotField showAll="0"/>
    <pivotField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pivotField showAll="0"/>
    <pivotField showAll="0"/>
    <pivotField axis="axisRow" dataField="1" showAll="0">
      <items count="6">
        <item x="3"/>
        <item x="0"/>
        <item x="4"/>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2"/>
  </rowFields>
  <rowItems count="3">
    <i>
      <x v="3"/>
    </i>
    <i>
      <x v="4"/>
    </i>
    <i t="grand">
      <x/>
    </i>
  </rowItems>
  <colItems count="1">
    <i/>
  </colItems>
  <dataFields count="1">
    <dataField name="Count of المسئول عن التسليم"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CEDFCE5-9D7A-427B-B032-3590A0A2A64A}" autoFormatId="16" applyNumberFormats="0" applyBorderFormats="0" applyFontFormats="0" applyPatternFormats="0" applyAlignmentFormats="0" applyWidthHeightFormats="0">
  <queryTableRefresh nextId="26" unboundColumnsRight="1">
    <queryTableFields count="25">
      <queryTableField id="1" name="أسم العميل" tableColumnId="1"/>
      <queryTableField id="2" name="نوع العميل" tableColumnId="2"/>
      <queryTableField id="3" name="العنوان" tableColumnId="3"/>
      <queryTableField id="4" name="المحافظة " tableColumnId="4"/>
      <queryTableField id="5" name="منصة البيع " tableColumnId="5"/>
      <queryTableField id="6" name="الاسم" tableColumnId="6"/>
      <queryTableField id="7" name="اللون المعدن" tableColumnId="7"/>
      <queryTableField id="8" name="لون القماش" tableColumnId="8"/>
      <queryTableField id="9" name="المنتج" tableColumnId="9"/>
      <queryTableField id="10" name="الصنف" tableColumnId="10"/>
      <queryTableField id="11" name="النوع" tableColumnId="11"/>
      <queryTableField id="12" name="اللون" tableColumnId="12"/>
      <queryTableField id="13" name="المقاس" tableColumnId="13"/>
      <queryTableField id="14" name="الكمية" tableColumnId="14"/>
      <queryTableField id="15" name="سعر البيع " tableColumnId="15"/>
      <queryTableField id="16" name="الاجمالي" tableColumnId="16"/>
      <queryTableField id="17" name="طريقة الدفع" tableColumnId="17"/>
      <queryTableField id="18" name="ميعاد الطلب" tableColumnId="18"/>
      <queryTableField id="19" name="ميعاد التسليم" tableColumnId="19"/>
      <queryTableField id="20" name="معاد الانتظار(الهدف)" tableColumnId="20"/>
      <queryTableField id="21" name="تاريخ التسليم" tableColumnId="21"/>
      <queryTableField id="22" name="معاد الانتظار(الفعلي)" tableColumnId="22"/>
      <queryTableField id="23" name="المسئول عن التسليم" tableColumnId="23"/>
      <queryTableField id="24" name="الحالة"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صنف" xr10:uid="{BFAF62BC-B189-4119-8EA7-87C7A8FD72DF}" sourceName="الصنف">
  <pivotTables>
    <pivotTable tabId="13" name="PivotTable3"/>
    <pivotTable tabId="13" name="PivotTable1"/>
    <pivotTable tabId="13" name="PivotTable10"/>
    <pivotTable tabId="13" name="PivotTable2"/>
    <pivotTable tabId="13" name="PivotTable4"/>
    <pivotTable tabId="13" name="PivotTable5"/>
    <pivotTable tabId="13" name="PivotTable6"/>
    <pivotTable tabId="13" name="PivotTable7"/>
    <pivotTable tabId="13" name="PivotTable8"/>
    <pivotTable tabId="13" name="PivotTable9"/>
    <pivotTable tabId="13" name="PivotTable11"/>
    <pivotTable tabId="13" name="PivotTable12"/>
    <pivotTable tabId="13" name="PivotTable16"/>
    <pivotTable tabId="13" name="PivotTable13"/>
    <pivotTable tabId="13" name="PivotTable14"/>
    <pivotTable tabId="13" name="PivotTable15"/>
  </pivotTables>
  <data>
    <tabular pivotCacheId="920038296">
      <items count="4">
        <i x="3" s="1"/>
        <i x="2"/>
        <i x="1"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B6B1E329-D123-4567-AAA0-1C10F07D9189}" sourceName="منصة البيع ">
  <pivotTables>
    <pivotTable tabId="13" name="PivotTable1"/>
    <pivotTable tabId="13" name="PivotTable10"/>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1"/>
    <pivotTable tabId="13" name="PivotTable12"/>
    <pivotTable tabId="13" name="PivotTable14"/>
    <pivotTable tabId="13" name="PivotTable15"/>
    <pivotTable tabId="13" name="PivotTable16"/>
    <pivotTable tabId="13" name="PivotTable13"/>
  </pivotTables>
  <data>
    <tabular pivotCacheId="920038296">
      <items count="9">
        <i x="3" s="1"/>
        <i x="5" nd="1"/>
        <i x="4" nd="1"/>
        <i x="1" nd="1"/>
        <i x="2" nd="1"/>
        <i x="7" nd="1"/>
        <i x="6" nd="1"/>
        <i x="0" nd="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39EB9181-5647-4693-BF82-1CDDBE860FDD}" sourceName="المحافظة ">
  <pivotTables>
    <pivotTable tabId="13" name="PivotTable2"/>
    <pivotTable tabId="13" name="PivotTable1"/>
    <pivotTable tabId="13" name="PivotTable10"/>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1"/>
    <pivotTable tabId="13" name="PivotTable12"/>
    <pivotTable tabId="13" name="PivotTable13"/>
    <pivotTable tabId="13" name="PivotTable14"/>
    <pivotTable tabId="13" name="PivotTable15"/>
    <pivotTable tabId="13" name="PivotTable16"/>
  </pivotTables>
  <data>
    <tabular pivotCacheId="920038296">
      <items count="9">
        <i x="5" s="1"/>
        <i x="8" s="1" nd="1"/>
        <i x="1" s="1" nd="1"/>
        <i x="3" s="1" nd="1"/>
        <i x="0" s="1" nd="1"/>
        <i x="7" s="1" nd="1"/>
        <i x="6" s="1" nd="1"/>
        <i x="2" s="1" nd="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سئول_عن_التسليم" xr10:uid="{10205484-F831-4921-BB56-4D3A21F17810}" sourceName="المسئول عن التسليم">
  <pivotTables>
    <pivotTable tabId="13" name="PivotTable11"/>
    <pivotTable tabId="13" name="PivotTable1"/>
    <pivotTable tabId="13" name="PivotTable10"/>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2"/>
    <pivotTable tabId="13" name="PivotTable13"/>
    <pivotTable tabId="13" name="PivotTable14"/>
    <pivotTable tabId="13" name="PivotTable15"/>
    <pivotTable tabId="13" name="PivotTable16"/>
  </pivotTables>
  <data>
    <tabular pivotCacheId="920038296">
      <items count="5">
        <i x="2" s="1"/>
        <i x="1" s="1"/>
        <i x="3" s="1" nd="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صنف 1" xr10:uid="{FC176A60-A377-430E-85C5-D3056E00F2A0}" cache="Slicer_الصنف" caption="الصنف" style="Slicer Style 1" rowHeight="2103120"/>
  <slicer name="منصة البيع  1" xr10:uid="{299C25AC-E2DA-4DB6-A4C2-E1344780F81A}" cache="Slicer_منصة_البيع" caption="منصة البيع " style="Slicer Style 1" rowHeight="1188720"/>
  <slicer name="المحافظة  1" xr10:uid="{7164C770-A81F-4D53-AA69-6496B33B73D4}" cache="Slicer_المحافظة" caption="المحافظة " style="Slicer Style 1" rowHeight="1188720"/>
  <slicer name="المسئول عن التسليم 1" xr10:uid="{872E95E9-4B54-4EE3-92C9-F06438D54C6E}" cache="Slicer_المسئول_عن_التسليم" caption="المسئول عن التسليم" style="Slicer Style 1" rowHeight="11887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صنف" xr10:uid="{75F71692-6FB9-4D88-8258-85E5B412695C}" cache="Slicer_الصنف" caption="الصنف" rowHeight="234950"/>
  <slicer name="منصة البيع " xr10:uid="{AF820E44-48CA-44ED-B5CE-FED2D788C0F6}" cache="Slicer_منصة_البيع" caption="منصة البيع " rowHeight="234950"/>
  <slicer name="المحافظة " xr10:uid="{7D89B3F7-11AB-45CB-B423-1EEE7199B22B}" cache="Slicer_المحافظة" caption="المحافظة " rowHeight="234950"/>
  <slicer name="المسئول عن التسليم" xr10:uid="{10C3FCE8-7971-4DA5-BA07-BD91214D7D13}" cache="Slicer_المسئول_عن_التسليم" caption="المسئول عن التسليم"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0068A7-E413-4D7E-A3A4-CAF0D2B67F20}" name="data" displayName="data" ref="A1:Y128" tableType="queryTable" totalsRowShown="0">
  <autoFilter ref="A1:Y128" xr:uid="{810068A7-E413-4D7E-A3A4-CAF0D2B67F20}">
    <filterColumn colId="9">
      <filters>
        <filter val="كنبه"/>
      </filters>
    </filterColumn>
    <filterColumn colId="22">
      <filters>
        <filter val="تم التسليم محمود على"/>
      </filters>
    </filterColumn>
  </autoFilter>
  <tableColumns count="25">
    <tableColumn id="1" xr3:uid="{0DF61D73-114B-4B5B-9E20-E7DE870A45DC}" uniqueName="1" name="أسم العميل" queryTableFieldId="1" dataDxfId="52"/>
    <tableColumn id="2" xr3:uid="{618A34F9-E664-4535-9EDF-4BE2ACB8C8B0}" uniqueName="2" name="نوع العميل" queryTableFieldId="2" dataDxfId="51"/>
    <tableColumn id="3" xr3:uid="{E9CCEAA5-2DF3-438E-9BA9-B0279E0A8A55}" uniqueName="3" name="العنوان" queryTableFieldId="3" dataDxfId="50"/>
    <tableColumn id="4" xr3:uid="{7544FBC3-DEB9-402A-979D-B7212367EBF5}" uniqueName="4" name="المحافظة " queryTableFieldId="4" dataDxfId="49"/>
    <tableColumn id="5" xr3:uid="{C83357D9-9DAD-4E2D-AC2C-FFA6C74EB266}" uniqueName="5" name="منصة البيع " queryTableFieldId="5" dataDxfId="48"/>
    <tableColumn id="6" xr3:uid="{898E3C95-6CB5-4A33-A30E-F026B5E73532}" uniqueName="6" name="الاسم" queryTableFieldId="6" dataDxfId="47"/>
    <tableColumn id="7" xr3:uid="{5076E136-4F7D-4D8C-97A3-B54766563BBE}" uniqueName="7" name="اللون المعدن" queryTableFieldId="7" dataDxfId="46"/>
    <tableColumn id="8" xr3:uid="{002F75C2-FF40-4C36-8C0A-8F4E64EAD4AF}" uniqueName="8" name="لون القماش" queryTableFieldId="8" dataDxfId="45"/>
    <tableColumn id="9" xr3:uid="{B883779C-7EB9-4539-A16D-859A3AE3FA47}" uniqueName="9" name="المنتج" queryTableFieldId="9" dataDxfId="44"/>
    <tableColumn id="10" xr3:uid="{AD207E2B-17BB-4299-9F34-6F041DE1835B}" uniqueName="10" name="الصنف" queryTableFieldId="10" dataDxfId="43"/>
    <tableColumn id="11" xr3:uid="{C7CD7D6F-1C7B-40F7-8CAC-B6AFACFED748}" uniqueName="11" name="النوع" queryTableFieldId="11" dataDxfId="42"/>
    <tableColumn id="12" xr3:uid="{DB28A601-C5DE-44E6-A8F9-84A88A44A3B4}" uniqueName="12" name="اللون" queryTableFieldId="12" dataDxfId="41"/>
    <tableColumn id="13" xr3:uid="{9A26DC10-96DE-4376-8FF4-CD612F078969}" uniqueName="13" name="المقاس" queryTableFieldId="13"/>
    <tableColumn id="14" xr3:uid="{C5F7DE8F-2E1E-4B01-BCC5-0FE81DEE1287}" uniqueName="14" name="الكمية" queryTableFieldId="14"/>
    <tableColumn id="15" xr3:uid="{AC8E7AA8-44F4-4471-9B68-D56D19290722}" uniqueName="15" name="سعر البيع " queryTableFieldId="15"/>
    <tableColumn id="16" xr3:uid="{06A545C2-D6B8-47F3-B1C8-83AC05F38CFA}" uniqueName="16" name="الاجمالي" queryTableFieldId="16"/>
    <tableColumn id="17" xr3:uid="{29C8782A-C5CD-4B9C-BE64-974635464C68}" uniqueName="17" name="طريقة الدفع" queryTableFieldId="17" dataDxfId="40"/>
    <tableColumn id="18" xr3:uid="{636F3068-CD0D-4091-BC02-C6CE2C2C8539}" uniqueName="18" name="ميعاد الطلب" queryTableFieldId="18" dataDxfId="39"/>
    <tableColumn id="19" xr3:uid="{89D71376-4839-4F7E-B3DE-E5386429AE6D}" uniqueName="19" name="ميعاد التسليم" queryTableFieldId="19" dataDxfId="38"/>
    <tableColumn id="20" xr3:uid="{86DD5307-EBE7-4E9C-9DE2-4856B1C665B9}" uniqueName="20" name="معاد الانتظار(الهدف)" queryTableFieldId="20"/>
    <tableColumn id="21" xr3:uid="{8F8E08E1-C605-48FA-964C-E4149CC13F00}" uniqueName="21" name="تاريخ التسليم" queryTableFieldId="21" dataDxfId="37"/>
    <tableColumn id="22" xr3:uid="{B0CA2DE4-4469-4E1A-B23F-1DC5859EC0B2}" uniqueName="22" name="معاد الانتظار(الفعلي)" queryTableFieldId="22"/>
    <tableColumn id="23" xr3:uid="{683E4826-71CF-44CF-820B-7E9FD06B0226}" uniqueName="23" name="المسئول عن التسليم" queryTableFieldId="23" dataDxfId="36"/>
    <tableColumn id="24" xr3:uid="{A43E2974-8FA8-4F04-9FAD-5C81FA2A87F3}" uniqueName="24" name="الحالة" queryTableFieldId="24" dataDxfId="35"/>
    <tableColumn id="25" xr3:uid="{FBFEE71E-0DB0-467F-9036-8B8CE6AEAFEB}" uniqueName="25" name="Column1" queryTableFieldId="25" dataDxfId="34">
      <calculatedColumnFormula>IF(data[[#This Row],[معاد الانتظار(الفعلي)]]&gt;data[[#This Row],[معاد الانتظار(الهدف)]],"متأخر","في المعاد")</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D9A7C5-FBD3-4898-A600-67E5B247FEA0}" name="Table2" displayName="Table2" ref="A1:U127" totalsRowShown="0">
  <autoFilter ref="A1:U127" xr:uid="{39D9A7C5-FBD3-4898-A600-67E5B247FEA0}"/>
  <tableColumns count="21">
    <tableColumn id="1" xr3:uid="{60230E79-18E7-46EA-8BB5-344E4F932A9A}" name="م"/>
    <tableColumn id="2" xr3:uid="{E026D0F8-6BF7-4398-AF0B-02F2512363F8}" name="رقم العملية"/>
    <tableColumn id="3" xr3:uid="{20C73EEA-9A70-471F-8ED7-D84615FC904D}" name="رقم الطلب"/>
    <tableColumn id="4" xr3:uid="{3DA8A9ED-AF51-42A0-9B5E-8C3C74852B22}" name="أسم العميل"/>
    <tableColumn id="5" xr3:uid="{A42DF228-3575-45D6-A001-43E4260117DC}" name="العنوان"/>
    <tableColumn id="6" xr3:uid="{E4291B2F-41C5-4EB4-B97B-57C9850AB335}" name="رقم الموبيل"/>
    <tableColumn id="7" xr3:uid="{7AC532FE-51C6-4886-9D12-E1195595D56E}" name="منصة البيع "/>
    <tableColumn id="8" xr3:uid="{53BE8E9B-4BF6-413F-B8C1-DEFA945A8723}" name=" الصنف"/>
    <tableColumn id="9" xr3:uid="{A273661F-EE9C-4B54-AB8D-7C36EFD2296F}" name="نوع الصنف"/>
    <tableColumn id="10" xr3:uid="{B165E611-46DD-439C-8CD8-C6F0B429AABA}" name="الاسم"/>
    <tableColumn id="11" xr3:uid="{FE998EFA-8A7D-4E24-B9A3-65D5A83BE570}" name="المقاس"/>
    <tableColumn id="12" xr3:uid="{76184445-20E2-46C9-8ADA-996202D7996E}" name="اللون المعدن"/>
    <tableColumn id="13" xr3:uid="{A2F075F6-0108-41B8-8ECF-4C270E6B3877}" name="لون القماش"/>
    <tableColumn id="14" xr3:uid="{CD1B6B47-B42C-4FC7-8E2E-7EE4D15E096B}" name="المنتج"/>
    <tableColumn id="15" xr3:uid="{86F5E290-72AF-4DE8-864C-D38EAABDD3F9}" name="سعر البيع "/>
    <tableColumn id="16" xr3:uid="{13E895CB-5578-4D9E-A9A6-A9BFB6C39F39}" name="طريقه الدفع "/>
    <tableColumn id="17" xr3:uid="{7BD5100B-06E9-4349-B7C6-0CE5DA426F68}" name="ميعاد الطلب"/>
    <tableColumn id="18" xr3:uid="{55DC9F40-B30A-4648-AD3D-3E8E45EB153D}" name="ميعاد التسليم"/>
    <tableColumn id="19" xr3:uid="{010151CA-0788-49FE-8EFE-213D0F5A8DBB}" name="تاريخ التسليم"/>
    <tableColumn id="20" xr3:uid="{18F76F1A-DB8E-4F20-B2FF-43E61D99F6F3}" name="المسئول عن التسليم"/>
    <tableColumn id="21" xr3:uid="{AEE11E0B-DF17-4E6F-BEB4-A542637216FB}" name="الحالة"/>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F5E4F-E501-440E-82BA-E307FE7473EF}">
  <dimension ref="F1:EW199"/>
  <sheetViews>
    <sheetView showGridLines="0" tabSelected="1" zoomScale="10" zoomScaleNormal="10" workbookViewId="0">
      <selection activeCell="AZ392" sqref="AZ392"/>
    </sheetView>
  </sheetViews>
  <sheetFormatPr defaultRowHeight="14.4" x14ac:dyDescent="0.3"/>
  <cols>
    <col min="1" max="5" width="22.33203125" customWidth="1"/>
    <col min="6" max="6" width="255.6640625" customWidth="1"/>
    <col min="7" max="23" width="22.33203125" customWidth="1"/>
  </cols>
  <sheetData>
    <row r="1" spans="6:15" ht="14.4" customHeight="1" x14ac:dyDescent="0.3">
      <c r="F1" s="22"/>
      <c r="G1" s="22"/>
      <c r="H1" s="22"/>
      <c r="I1" s="22"/>
      <c r="J1" s="22"/>
      <c r="K1" s="22"/>
      <c r="L1" s="22"/>
      <c r="M1" s="22"/>
      <c r="N1" s="22"/>
      <c r="O1" s="22"/>
    </row>
    <row r="2" spans="6:15" ht="14.4" customHeight="1" x14ac:dyDescent="0.3">
      <c r="F2" s="22"/>
      <c r="G2" s="22"/>
      <c r="H2" s="22"/>
      <c r="I2" s="22"/>
      <c r="J2" s="22"/>
      <c r="K2" s="22"/>
      <c r="L2" s="22"/>
      <c r="M2" s="22"/>
      <c r="N2" s="22"/>
      <c r="O2" s="22"/>
    </row>
    <row r="3" spans="6:15" ht="14.4" customHeight="1" x14ac:dyDescent="0.3">
      <c r="F3" s="22"/>
      <c r="G3" s="22"/>
      <c r="H3" s="22"/>
      <c r="I3" s="22"/>
      <c r="J3" s="22"/>
      <c r="K3" s="22"/>
      <c r="L3" s="22"/>
      <c r="M3" s="22"/>
      <c r="N3" s="22"/>
      <c r="O3" s="22"/>
    </row>
    <row r="17" spans="16:16" x14ac:dyDescent="0.3">
      <c r="P17" t="s">
        <v>396</v>
      </c>
    </row>
    <row r="18" spans="16:16" x14ac:dyDescent="0.3">
      <c r="P18" s="7" t="s">
        <v>390</v>
      </c>
    </row>
    <row r="37" spans="15:15" x14ac:dyDescent="0.3">
      <c r="O37" t="s">
        <v>397</v>
      </c>
    </row>
    <row r="89" spans="113:113" x14ac:dyDescent="0.3">
      <c r="DI89" t="s">
        <v>396</v>
      </c>
    </row>
    <row r="114" spans="153:153" x14ac:dyDescent="0.3">
      <c r="EW114" t="s">
        <v>407</v>
      </c>
    </row>
    <row r="131" ht="6" customHeight="1" x14ac:dyDescent="0.3"/>
    <row r="199" spans="104:104" x14ac:dyDescent="0.3">
      <c r="CZ199" t="s">
        <v>407</v>
      </c>
    </row>
  </sheetData>
  <mergeCells count="1">
    <mergeCell ref="F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B00B-FCCF-4CD6-A2CC-4DBC3D40662A}">
  <dimension ref="A1:Y128"/>
  <sheetViews>
    <sheetView topLeftCell="R1" zoomScale="106" zoomScaleNormal="205" workbookViewId="0">
      <selection activeCell="T2" sqref="T2:T4"/>
    </sheetView>
  </sheetViews>
  <sheetFormatPr defaultRowHeight="14.4" x14ac:dyDescent="0.3"/>
  <cols>
    <col min="1" max="1" width="15.44140625" bestFit="1" customWidth="1"/>
    <col min="2" max="2" width="8.21875" bestFit="1" customWidth="1"/>
    <col min="3" max="3" width="30" bestFit="1" customWidth="1"/>
    <col min="4" max="4" width="9.21875" bestFit="1" customWidth="1"/>
    <col min="5" max="5" width="8.88671875" bestFit="1" customWidth="1"/>
    <col min="6" max="6" width="7.109375" bestFit="1" customWidth="1"/>
    <col min="7" max="7" width="9.44140625" bestFit="1" customWidth="1"/>
    <col min="8" max="8" width="12.44140625" bestFit="1" customWidth="1"/>
    <col min="9" max="9" width="34.44140625" bestFit="1" customWidth="1"/>
    <col min="10" max="10" width="5.88671875" bestFit="1" customWidth="1"/>
    <col min="11" max="11" width="14" bestFit="1" customWidth="1"/>
    <col min="12" max="12" width="7.44140625" bestFit="1" customWidth="1"/>
    <col min="13" max="13" width="7.6640625" bestFit="1" customWidth="1"/>
    <col min="14" max="14" width="5" bestFit="1" customWidth="1"/>
    <col min="15" max="15" width="11" bestFit="1" customWidth="1"/>
    <col min="16" max="16" width="6.21875" bestFit="1" customWidth="1"/>
    <col min="17" max="17" width="3.109375" customWidth="1"/>
    <col min="18" max="18" width="20.44140625" customWidth="1"/>
    <col min="19" max="19" width="10.5546875" bestFit="1" customWidth="1"/>
    <col min="20" max="20" width="15.6640625" bestFit="1" customWidth="1"/>
    <col min="21" max="21" width="10.5546875" bestFit="1" customWidth="1"/>
    <col min="22" max="22" width="15.33203125" bestFit="1" customWidth="1"/>
    <col min="23" max="23" width="22.77734375" bestFit="1" customWidth="1"/>
    <col min="24" max="24" width="9.44140625" bestFit="1" customWidth="1"/>
  </cols>
  <sheetData>
    <row r="1" spans="1:25" x14ac:dyDescent="0.3">
      <c r="A1" t="s">
        <v>0</v>
      </c>
      <c r="B1" t="s">
        <v>331</v>
      </c>
      <c r="C1" t="s">
        <v>1</v>
      </c>
      <c r="D1" t="s">
        <v>328</v>
      </c>
      <c r="E1" t="s">
        <v>7</v>
      </c>
      <c r="F1" t="s">
        <v>174</v>
      </c>
      <c r="G1" t="s">
        <v>179</v>
      </c>
      <c r="H1" t="s">
        <v>180</v>
      </c>
      <c r="I1" t="s">
        <v>2</v>
      </c>
      <c r="J1" t="s">
        <v>351</v>
      </c>
      <c r="K1" t="s">
        <v>338</v>
      </c>
      <c r="L1" t="s">
        <v>330</v>
      </c>
      <c r="M1" t="s">
        <v>175</v>
      </c>
      <c r="N1" t="s">
        <v>381</v>
      </c>
      <c r="O1" t="s">
        <v>9</v>
      </c>
      <c r="P1" t="s">
        <v>393</v>
      </c>
      <c r="Q1" t="s">
        <v>337</v>
      </c>
      <c r="R1" t="s">
        <v>12</v>
      </c>
      <c r="S1" t="s">
        <v>11</v>
      </c>
      <c r="T1" t="s">
        <v>336</v>
      </c>
      <c r="U1" t="s">
        <v>3</v>
      </c>
      <c r="V1" t="s">
        <v>335</v>
      </c>
      <c r="W1" t="s">
        <v>4</v>
      </c>
      <c r="X1" t="s">
        <v>190</v>
      </c>
      <c r="Y1" t="s">
        <v>404</v>
      </c>
    </row>
    <row r="2" spans="1:25" hidden="1" x14ac:dyDescent="0.3">
      <c r="A2" s="1" t="s">
        <v>13</v>
      </c>
      <c r="B2" s="1" t="s">
        <v>332</v>
      </c>
      <c r="C2" s="1" t="s">
        <v>14</v>
      </c>
      <c r="D2" s="1" t="s">
        <v>322</v>
      </c>
      <c r="E2" s="1" t="s">
        <v>8</v>
      </c>
      <c r="F2" s="1"/>
      <c r="G2" s="1"/>
      <c r="H2" s="1"/>
      <c r="I2" s="1" t="s">
        <v>15</v>
      </c>
      <c r="J2" s="1" t="s">
        <v>150</v>
      </c>
      <c r="K2" s="1" t="s">
        <v>151</v>
      </c>
      <c r="L2" s="1" t="s">
        <v>167</v>
      </c>
      <c r="N2">
        <v>1</v>
      </c>
      <c r="O2">
        <v>10160</v>
      </c>
      <c r="P2">
        <v>10160</v>
      </c>
      <c r="Q2" s="1" t="s">
        <v>16</v>
      </c>
      <c r="R2" s="2">
        <v>45500</v>
      </c>
      <c r="S2" s="2"/>
      <c r="T2">
        <v>0</v>
      </c>
      <c r="U2" s="2">
        <v>45514</v>
      </c>
      <c r="V2">
        <v>14</v>
      </c>
      <c r="W2" s="1" t="s">
        <v>28</v>
      </c>
      <c r="X2" s="1" t="s">
        <v>198</v>
      </c>
    </row>
    <row r="3" spans="1:25" hidden="1" x14ac:dyDescent="0.3">
      <c r="A3" s="1" t="s">
        <v>18</v>
      </c>
      <c r="B3" s="1" t="s">
        <v>332</v>
      </c>
      <c r="C3" s="1" t="s">
        <v>19</v>
      </c>
      <c r="D3" s="1" t="s">
        <v>323</v>
      </c>
      <c r="E3" s="1" t="s">
        <v>8</v>
      </c>
      <c r="F3" s="1"/>
      <c r="G3" s="1"/>
      <c r="H3" s="1"/>
      <c r="I3" s="1" t="s">
        <v>20</v>
      </c>
      <c r="J3" s="1" t="s">
        <v>150</v>
      </c>
      <c r="K3" s="1" t="s">
        <v>151</v>
      </c>
      <c r="L3" s="1" t="s">
        <v>168</v>
      </c>
      <c r="N3">
        <v>1</v>
      </c>
      <c r="O3">
        <v>10160</v>
      </c>
      <c r="P3">
        <v>10160</v>
      </c>
      <c r="Q3" s="1" t="s">
        <v>339</v>
      </c>
      <c r="R3" s="2">
        <v>45501</v>
      </c>
      <c r="S3" s="2"/>
      <c r="T3">
        <v>0</v>
      </c>
      <c r="U3" s="2">
        <v>45515</v>
      </c>
      <c r="V3">
        <v>14</v>
      </c>
      <c r="W3" s="1" t="s">
        <v>28</v>
      </c>
      <c r="X3" s="1" t="s">
        <v>198</v>
      </c>
    </row>
    <row r="4" spans="1:25" hidden="1" x14ac:dyDescent="0.3">
      <c r="A4" s="1" t="s">
        <v>22</v>
      </c>
      <c r="B4" s="1" t="s">
        <v>332</v>
      </c>
      <c r="C4" s="1" t="s">
        <v>23</v>
      </c>
      <c r="D4" s="1" t="s">
        <v>324</v>
      </c>
      <c r="E4" s="1" t="s">
        <v>8</v>
      </c>
      <c r="F4" s="1" t="s">
        <v>155</v>
      </c>
      <c r="G4" s="1" t="s">
        <v>170</v>
      </c>
      <c r="H4" s="1"/>
      <c r="I4" s="1" t="s">
        <v>340</v>
      </c>
      <c r="J4" s="1" t="s">
        <v>150</v>
      </c>
      <c r="K4" s="1" t="s">
        <v>155</v>
      </c>
      <c r="L4" s="1" t="s">
        <v>170</v>
      </c>
      <c r="M4">
        <v>90</v>
      </c>
      <c r="N4">
        <v>1</v>
      </c>
      <c r="O4">
        <v>11455</v>
      </c>
      <c r="P4">
        <v>11455</v>
      </c>
      <c r="Q4" s="1" t="s">
        <v>339</v>
      </c>
      <c r="R4" s="2">
        <v>45500</v>
      </c>
      <c r="S4" s="2"/>
      <c r="T4">
        <v>0</v>
      </c>
      <c r="U4" s="2"/>
      <c r="V4">
        <v>0</v>
      </c>
      <c r="W4" s="1"/>
      <c r="X4" s="1" t="s">
        <v>192</v>
      </c>
    </row>
    <row r="5" spans="1:25" hidden="1" x14ac:dyDescent="0.3">
      <c r="A5" s="1" t="s">
        <v>25</v>
      </c>
      <c r="B5" s="1" t="s">
        <v>332</v>
      </c>
      <c r="C5" s="1" t="s">
        <v>26</v>
      </c>
      <c r="D5" s="1" t="s">
        <v>325</v>
      </c>
      <c r="E5" s="1" t="s">
        <v>8</v>
      </c>
      <c r="F5" s="1"/>
      <c r="G5" s="1"/>
      <c r="H5" s="1"/>
      <c r="I5" s="1" t="s">
        <v>27</v>
      </c>
      <c r="J5" s="1" t="s">
        <v>389</v>
      </c>
      <c r="K5" s="1" t="s">
        <v>341</v>
      </c>
      <c r="L5" s="1"/>
      <c r="N5">
        <v>1</v>
      </c>
      <c r="O5">
        <v>8642</v>
      </c>
      <c r="P5">
        <v>8642</v>
      </c>
      <c r="Q5" s="1" t="s">
        <v>16</v>
      </c>
      <c r="R5" s="2">
        <v>45529</v>
      </c>
      <c r="S5" s="2">
        <v>45542</v>
      </c>
      <c r="T5">
        <v>13</v>
      </c>
      <c r="U5" s="2">
        <v>45531</v>
      </c>
      <c r="V5">
        <v>2</v>
      </c>
      <c r="W5" s="1" t="s">
        <v>28</v>
      </c>
      <c r="X5" s="1" t="s">
        <v>198</v>
      </c>
    </row>
    <row r="6" spans="1:25" hidden="1" x14ac:dyDescent="0.3">
      <c r="A6" s="1" t="s">
        <v>29</v>
      </c>
      <c r="B6" s="1" t="s">
        <v>332</v>
      </c>
      <c r="C6" s="1" t="s">
        <v>23</v>
      </c>
      <c r="D6" s="1" t="s">
        <v>324</v>
      </c>
      <c r="E6" s="1" t="s">
        <v>8</v>
      </c>
      <c r="F6" s="1" t="s">
        <v>152</v>
      </c>
      <c r="G6" s="1" t="s">
        <v>172</v>
      </c>
      <c r="H6" s="1"/>
      <c r="I6" s="1" t="s">
        <v>30</v>
      </c>
      <c r="J6" s="1" t="s">
        <v>150</v>
      </c>
      <c r="K6" s="1" t="s">
        <v>152</v>
      </c>
      <c r="L6" s="1" t="s">
        <v>172</v>
      </c>
      <c r="M6">
        <v>100</v>
      </c>
      <c r="N6">
        <v>1</v>
      </c>
      <c r="O6">
        <v>12833</v>
      </c>
      <c r="P6">
        <v>12833</v>
      </c>
      <c r="Q6" s="1" t="s">
        <v>339</v>
      </c>
      <c r="R6" s="2">
        <v>45520</v>
      </c>
      <c r="S6" s="2">
        <v>45535</v>
      </c>
      <c r="T6">
        <v>15</v>
      </c>
      <c r="U6" s="2"/>
      <c r="V6">
        <v>0</v>
      </c>
      <c r="W6" s="1"/>
      <c r="X6" s="1" t="s">
        <v>192</v>
      </c>
      <c r="Y6" t="str">
        <f>IF(data[[#This Row],[معاد الانتظار(الفعلي)]]&gt;data[[#This Row],[معاد الانتظار(الهدف)]],"متأخر","في المعاد")</f>
        <v>في المعاد</v>
      </c>
    </row>
    <row r="7" spans="1:25" hidden="1" x14ac:dyDescent="0.3">
      <c r="A7" s="1" t="s">
        <v>52</v>
      </c>
      <c r="B7" s="1" t="s">
        <v>333</v>
      </c>
      <c r="C7" s="1"/>
      <c r="D7" s="1"/>
      <c r="E7" s="1" t="s">
        <v>52</v>
      </c>
      <c r="F7" s="1"/>
      <c r="G7" s="1"/>
      <c r="H7" s="1"/>
      <c r="I7" s="1" t="s">
        <v>32</v>
      </c>
      <c r="J7" s="1" t="s">
        <v>150</v>
      </c>
      <c r="K7" s="1" t="s">
        <v>342</v>
      </c>
      <c r="L7" s="1" t="s">
        <v>172</v>
      </c>
      <c r="N7">
        <v>1</v>
      </c>
      <c r="O7">
        <v>14550</v>
      </c>
      <c r="P7">
        <v>14550</v>
      </c>
      <c r="Q7" s="1" t="s">
        <v>16</v>
      </c>
      <c r="R7" s="2">
        <v>45518</v>
      </c>
      <c r="S7" s="2">
        <v>45538</v>
      </c>
      <c r="T7">
        <v>20</v>
      </c>
      <c r="U7" s="2">
        <v>45540</v>
      </c>
      <c r="V7">
        <v>22</v>
      </c>
      <c r="W7" s="1" t="s">
        <v>28</v>
      </c>
      <c r="X7" s="1" t="s">
        <v>198</v>
      </c>
      <c r="Y7" t="str">
        <f>IF(data[[#This Row],[معاد الانتظار(الفعلي)]]&gt;data[[#This Row],[معاد الانتظار(الهدف)]],"متأخر","في المعاد")</f>
        <v>متأخر</v>
      </c>
    </row>
    <row r="8" spans="1:25" hidden="1" x14ac:dyDescent="0.3">
      <c r="A8" s="1" t="s">
        <v>33</v>
      </c>
      <c r="B8" s="1" t="s">
        <v>332</v>
      </c>
      <c r="C8" s="1" t="s">
        <v>34</v>
      </c>
      <c r="D8" s="1" t="s">
        <v>326</v>
      </c>
      <c r="E8" s="1" t="s">
        <v>282</v>
      </c>
      <c r="F8" s="1"/>
      <c r="G8" s="1"/>
      <c r="H8" s="1"/>
      <c r="I8" s="1" t="s">
        <v>32</v>
      </c>
      <c r="J8" s="1" t="s">
        <v>150</v>
      </c>
      <c r="K8" s="1" t="s">
        <v>342</v>
      </c>
      <c r="L8" s="1" t="s">
        <v>172</v>
      </c>
      <c r="N8">
        <v>1</v>
      </c>
      <c r="O8">
        <v>12000</v>
      </c>
      <c r="P8">
        <v>12000</v>
      </c>
      <c r="Q8" s="1" t="s">
        <v>339</v>
      </c>
      <c r="R8" s="2">
        <v>45521</v>
      </c>
      <c r="S8" s="2">
        <v>45524</v>
      </c>
      <c r="T8">
        <v>3</v>
      </c>
      <c r="U8" s="2">
        <v>45523</v>
      </c>
      <c r="V8">
        <v>2</v>
      </c>
      <c r="W8" s="1" t="s">
        <v>28</v>
      </c>
      <c r="X8" s="1" t="s">
        <v>198</v>
      </c>
      <c r="Y8" t="str">
        <f>IF(data[[#This Row],[معاد الانتظار(الفعلي)]]&gt;data[[#This Row],[معاد الانتظار(الهدف)]],"متأخر","في المعاد")</f>
        <v>في المعاد</v>
      </c>
    </row>
    <row r="9" spans="1:25" hidden="1" x14ac:dyDescent="0.3">
      <c r="A9" s="1" t="s">
        <v>38</v>
      </c>
      <c r="B9" s="1" t="s">
        <v>332</v>
      </c>
      <c r="C9" s="1" t="s">
        <v>39</v>
      </c>
      <c r="D9" s="1" t="s">
        <v>322</v>
      </c>
      <c r="E9" s="1" t="s">
        <v>8</v>
      </c>
      <c r="F9" s="1"/>
      <c r="G9" s="1"/>
      <c r="H9" s="1"/>
      <c r="I9" s="1" t="s">
        <v>40</v>
      </c>
      <c r="J9" s="1" t="s">
        <v>150</v>
      </c>
      <c r="K9" s="1" t="s">
        <v>153</v>
      </c>
      <c r="L9" s="1" t="s">
        <v>167</v>
      </c>
      <c r="N9">
        <v>1</v>
      </c>
      <c r="O9">
        <v>7228</v>
      </c>
      <c r="P9">
        <v>7228</v>
      </c>
      <c r="Q9" s="1" t="s">
        <v>16</v>
      </c>
      <c r="R9" s="2">
        <v>45529</v>
      </c>
      <c r="S9" s="2">
        <v>45538</v>
      </c>
      <c r="T9">
        <v>9</v>
      </c>
      <c r="U9" s="2">
        <v>45545</v>
      </c>
      <c r="V9">
        <v>16</v>
      </c>
      <c r="W9" s="1" t="s">
        <v>28</v>
      </c>
      <c r="X9" s="1" t="s">
        <v>198</v>
      </c>
      <c r="Y9" t="str">
        <f>IF(data[[#This Row],[معاد الانتظار(الفعلي)]]&gt;data[[#This Row],[معاد الانتظار(الهدف)]],"متأخر","في المعاد")</f>
        <v>متأخر</v>
      </c>
    </row>
    <row r="10" spans="1:25" hidden="1" x14ac:dyDescent="0.3">
      <c r="A10" s="1" t="s">
        <v>41</v>
      </c>
      <c r="B10" s="1" t="s">
        <v>333</v>
      </c>
      <c r="C10" s="1" t="s">
        <v>42</v>
      </c>
      <c r="D10" s="1" t="s">
        <v>326</v>
      </c>
      <c r="E10" s="1" t="s">
        <v>43</v>
      </c>
      <c r="F10" s="1"/>
      <c r="G10" s="1"/>
      <c r="H10" s="1"/>
      <c r="I10" s="1" t="s">
        <v>44</v>
      </c>
      <c r="J10" s="1"/>
      <c r="K10" s="1" t="s">
        <v>343</v>
      </c>
      <c r="L10" s="1"/>
      <c r="N10">
        <v>1</v>
      </c>
      <c r="O10">
        <v>22000</v>
      </c>
      <c r="P10">
        <v>22000</v>
      </c>
      <c r="Q10" s="1" t="s">
        <v>339</v>
      </c>
      <c r="R10" s="2">
        <v>45523</v>
      </c>
      <c r="S10" s="2">
        <v>45536</v>
      </c>
      <c r="T10">
        <v>13</v>
      </c>
      <c r="U10" s="2">
        <v>45552</v>
      </c>
      <c r="V10">
        <v>29</v>
      </c>
      <c r="W10" s="1"/>
      <c r="X10" s="1" t="s">
        <v>198</v>
      </c>
      <c r="Y10" t="str">
        <f>IF(data[[#This Row],[معاد الانتظار(الفعلي)]]&gt;data[[#This Row],[معاد الانتظار(الهدف)]],"متأخر","في المعاد")</f>
        <v>متأخر</v>
      </c>
    </row>
    <row r="11" spans="1:25" hidden="1" x14ac:dyDescent="0.3">
      <c r="A11" s="1" t="s">
        <v>41</v>
      </c>
      <c r="B11" s="1" t="s">
        <v>333</v>
      </c>
      <c r="C11" s="1" t="s">
        <v>42</v>
      </c>
      <c r="D11" s="1" t="s">
        <v>326</v>
      </c>
      <c r="E11" s="1" t="s">
        <v>43</v>
      </c>
      <c r="F11" s="1"/>
      <c r="G11" s="1"/>
      <c r="H11" s="1"/>
      <c r="I11" s="1" t="s">
        <v>352</v>
      </c>
      <c r="J11" s="1" t="s">
        <v>205</v>
      </c>
      <c r="K11" s="1" t="s">
        <v>344</v>
      </c>
      <c r="L11" s="1"/>
      <c r="N11">
        <v>2</v>
      </c>
      <c r="O11">
        <v>16000</v>
      </c>
      <c r="P11">
        <v>32000</v>
      </c>
      <c r="Q11" s="1" t="s">
        <v>339</v>
      </c>
      <c r="R11" s="2"/>
      <c r="S11" s="2"/>
      <c r="T11">
        <v>0</v>
      </c>
      <c r="U11" s="2"/>
      <c r="V11">
        <v>0</v>
      </c>
      <c r="W11" s="1"/>
      <c r="X11" s="1" t="s">
        <v>192</v>
      </c>
    </row>
    <row r="12" spans="1:25" x14ac:dyDescent="0.3">
      <c r="A12" s="1" t="s">
        <v>41</v>
      </c>
      <c r="B12" s="1" t="s">
        <v>333</v>
      </c>
      <c r="C12" s="1" t="s">
        <v>46</v>
      </c>
      <c r="D12" s="1" t="s">
        <v>326</v>
      </c>
      <c r="E12" s="1" t="s">
        <v>43</v>
      </c>
      <c r="F12" s="1"/>
      <c r="G12" s="1"/>
      <c r="H12" s="1"/>
      <c r="I12" s="1" t="s">
        <v>353</v>
      </c>
      <c r="J12" s="1" t="s">
        <v>205</v>
      </c>
      <c r="K12" s="1" t="s">
        <v>344</v>
      </c>
      <c r="L12" s="1"/>
      <c r="N12">
        <v>2</v>
      </c>
      <c r="O12">
        <v>6000</v>
      </c>
      <c r="P12">
        <v>12000</v>
      </c>
      <c r="Q12" s="1" t="s">
        <v>339</v>
      </c>
      <c r="R12" s="2">
        <v>45529</v>
      </c>
      <c r="S12" s="2">
        <v>45550</v>
      </c>
      <c r="T12">
        <v>21</v>
      </c>
      <c r="U12" s="2">
        <v>45552</v>
      </c>
      <c r="V12">
        <v>23</v>
      </c>
      <c r="W12" s="1" t="s">
        <v>199</v>
      </c>
      <c r="X12" s="1" t="s">
        <v>198</v>
      </c>
      <c r="Y12" t="str">
        <f>IF(data[[#This Row],[معاد الانتظار(الفعلي)]]&gt;data[[#This Row],[معاد الانتظار(الهدف)]],"متأخر","في المعاد")</f>
        <v>متأخر</v>
      </c>
    </row>
    <row r="13" spans="1:25" x14ac:dyDescent="0.3">
      <c r="A13" s="1" t="s">
        <v>41</v>
      </c>
      <c r="B13" s="1" t="s">
        <v>333</v>
      </c>
      <c r="C13" s="1" t="s">
        <v>46</v>
      </c>
      <c r="D13" s="1" t="s">
        <v>326</v>
      </c>
      <c r="E13" s="1" t="s">
        <v>43</v>
      </c>
      <c r="F13" s="1"/>
      <c r="G13" s="1"/>
      <c r="H13" s="1"/>
      <c r="I13" s="1" t="s">
        <v>353</v>
      </c>
      <c r="J13" s="1" t="s">
        <v>205</v>
      </c>
      <c r="K13" s="1" t="s">
        <v>344</v>
      </c>
      <c r="L13" s="1"/>
      <c r="N13">
        <v>2</v>
      </c>
      <c r="O13">
        <v>6000</v>
      </c>
      <c r="P13">
        <v>12000</v>
      </c>
      <c r="Q13" s="1" t="s">
        <v>339</v>
      </c>
      <c r="R13" s="2">
        <v>45529</v>
      </c>
      <c r="S13" s="2">
        <v>45550</v>
      </c>
      <c r="T13">
        <v>21</v>
      </c>
      <c r="U13" s="2">
        <v>45552</v>
      </c>
      <c r="V13">
        <v>23</v>
      </c>
      <c r="W13" s="1" t="s">
        <v>199</v>
      </c>
      <c r="X13" s="1" t="s">
        <v>198</v>
      </c>
      <c r="Y13" t="str">
        <f>IF(data[[#This Row],[معاد الانتظار(الفعلي)]]&gt;data[[#This Row],[معاد الانتظار(الهدف)]],"متأخر","في المعاد")</f>
        <v>متأخر</v>
      </c>
    </row>
    <row r="14" spans="1:25" hidden="1" x14ac:dyDescent="0.3">
      <c r="A14" s="1" t="s">
        <v>48</v>
      </c>
      <c r="B14" s="1" t="s">
        <v>332</v>
      </c>
      <c r="C14" s="1" t="s">
        <v>49</v>
      </c>
      <c r="D14" s="1" t="s">
        <v>326</v>
      </c>
      <c r="E14" s="1" t="s">
        <v>8</v>
      </c>
      <c r="F14" s="1" t="s">
        <v>152</v>
      </c>
      <c r="G14" s="1" t="s">
        <v>167</v>
      </c>
      <c r="H14" s="1"/>
      <c r="I14" s="1" t="s">
        <v>354</v>
      </c>
      <c r="J14" s="1" t="s">
        <v>150</v>
      </c>
      <c r="K14" s="1" t="s">
        <v>152</v>
      </c>
      <c r="L14" s="1" t="s">
        <v>167</v>
      </c>
      <c r="M14">
        <v>80</v>
      </c>
      <c r="N14">
        <v>1</v>
      </c>
      <c r="O14">
        <v>10499</v>
      </c>
      <c r="P14">
        <v>10499</v>
      </c>
      <c r="Q14" s="1" t="s">
        <v>339</v>
      </c>
      <c r="R14" s="2">
        <v>45536</v>
      </c>
      <c r="S14" s="2">
        <v>45551</v>
      </c>
      <c r="T14">
        <v>15</v>
      </c>
      <c r="U14" s="2">
        <v>45543</v>
      </c>
      <c r="V14">
        <v>7</v>
      </c>
      <c r="W14" s="1" t="s">
        <v>28</v>
      </c>
      <c r="X14" s="1" t="s">
        <v>198</v>
      </c>
      <c r="Y14" t="str">
        <f>IF(data[[#This Row],[معاد الانتظار(الفعلي)]]&gt;data[[#This Row],[معاد الانتظار(الهدف)]],"متأخر","في المعاد")</f>
        <v>في المعاد</v>
      </c>
    </row>
    <row r="15" spans="1:25" hidden="1" x14ac:dyDescent="0.3">
      <c r="A15" s="1" t="s">
        <v>65</v>
      </c>
      <c r="B15" s="1" t="s">
        <v>332</v>
      </c>
      <c r="C15" s="1" t="s">
        <v>39</v>
      </c>
      <c r="D15" s="1" t="s">
        <v>322</v>
      </c>
      <c r="E15" s="1" t="s">
        <v>8</v>
      </c>
      <c r="F15" s="1" t="s">
        <v>152</v>
      </c>
      <c r="G15" s="1" t="s">
        <v>167</v>
      </c>
      <c r="H15" s="1"/>
      <c r="I15" s="1" t="s">
        <v>355</v>
      </c>
      <c r="J15" s="1" t="s">
        <v>150</v>
      </c>
      <c r="K15" s="1" t="s">
        <v>345</v>
      </c>
      <c r="L15" s="1" t="s">
        <v>167</v>
      </c>
      <c r="M15">
        <v>80</v>
      </c>
      <c r="N15">
        <v>1</v>
      </c>
      <c r="O15">
        <v>7295</v>
      </c>
      <c r="P15">
        <v>7295</v>
      </c>
      <c r="Q15" s="1" t="s">
        <v>339</v>
      </c>
      <c r="R15" s="2">
        <v>45540</v>
      </c>
      <c r="S15" s="2">
        <v>45549</v>
      </c>
      <c r="T15">
        <v>9</v>
      </c>
      <c r="U15" s="2"/>
      <c r="V15">
        <v>0</v>
      </c>
      <c r="W15" s="1"/>
      <c r="X15" s="1" t="s">
        <v>192</v>
      </c>
      <c r="Y15" t="str">
        <f>IF(data[[#This Row],[معاد الانتظار(الفعلي)]]&gt;data[[#This Row],[معاد الانتظار(الهدف)]],"متأخر","في المعاد")</f>
        <v>في المعاد</v>
      </c>
    </row>
    <row r="16" spans="1:25" hidden="1" x14ac:dyDescent="0.3">
      <c r="A16" s="1" t="s">
        <v>61</v>
      </c>
      <c r="B16" s="1" t="s">
        <v>332</v>
      </c>
      <c r="C16" s="1" t="s">
        <v>62</v>
      </c>
      <c r="D16" s="1" t="s">
        <v>326</v>
      </c>
      <c r="E16" s="1" t="s">
        <v>8</v>
      </c>
      <c r="F16" s="1"/>
      <c r="G16" s="1"/>
      <c r="H16" s="1"/>
      <c r="I16" s="1" t="s">
        <v>63</v>
      </c>
      <c r="J16" s="1" t="s">
        <v>389</v>
      </c>
      <c r="K16" s="1" t="s">
        <v>341</v>
      </c>
      <c r="L16" s="1"/>
      <c r="N16">
        <v>1</v>
      </c>
      <c r="O16">
        <v>7849</v>
      </c>
      <c r="P16">
        <v>7849</v>
      </c>
      <c r="Q16" s="1" t="s">
        <v>16</v>
      </c>
      <c r="R16" s="2">
        <v>45539</v>
      </c>
      <c r="S16" s="2">
        <v>45551</v>
      </c>
      <c r="T16">
        <v>12</v>
      </c>
      <c r="U16" s="2">
        <v>45560</v>
      </c>
      <c r="V16">
        <v>21</v>
      </c>
      <c r="W16" s="1" t="s">
        <v>28</v>
      </c>
      <c r="X16" s="1" t="s">
        <v>208</v>
      </c>
      <c r="Y16" t="str">
        <f>IF(data[[#This Row],[معاد الانتظار(الفعلي)]]&gt;data[[#This Row],[معاد الانتظار(الهدف)]],"متأخر","في المعاد")</f>
        <v>متأخر</v>
      </c>
    </row>
    <row r="17" spans="1:25" hidden="1" x14ac:dyDescent="0.3">
      <c r="A17" s="1" t="s">
        <v>54</v>
      </c>
      <c r="B17" s="1" t="s">
        <v>332</v>
      </c>
      <c r="C17" s="1" t="s">
        <v>55</v>
      </c>
      <c r="D17" s="1" t="s">
        <v>326</v>
      </c>
      <c r="E17" s="1" t="s">
        <v>83</v>
      </c>
      <c r="F17" s="1" t="s">
        <v>155</v>
      </c>
      <c r="G17" s="1" t="s">
        <v>168</v>
      </c>
      <c r="H17" s="1"/>
      <c r="I17" s="1" t="s">
        <v>356</v>
      </c>
      <c r="J17" s="1" t="s">
        <v>150</v>
      </c>
      <c r="K17" s="1" t="s">
        <v>155</v>
      </c>
      <c r="L17" s="1" t="s">
        <v>168</v>
      </c>
      <c r="M17">
        <v>120</v>
      </c>
      <c r="N17">
        <v>2</v>
      </c>
      <c r="O17">
        <v>6180</v>
      </c>
      <c r="P17">
        <v>12360</v>
      </c>
      <c r="Q17" s="1" t="s">
        <v>339</v>
      </c>
      <c r="R17" s="2">
        <v>45538</v>
      </c>
      <c r="S17" s="2">
        <v>45551</v>
      </c>
      <c r="T17">
        <v>13</v>
      </c>
      <c r="U17" s="2">
        <v>45550</v>
      </c>
      <c r="V17">
        <v>12</v>
      </c>
      <c r="W17" s="1" t="s">
        <v>199</v>
      </c>
      <c r="X17" s="1" t="s">
        <v>198</v>
      </c>
      <c r="Y17" t="str">
        <f>IF(data[[#This Row],[معاد الانتظار(الفعلي)]]&gt;data[[#This Row],[معاد الانتظار(الهدف)]],"متأخر","في المعاد")</f>
        <v>في المعاد</v>
      </c>
    </row>
    <row r="18" spans="1:25" hidden="1" x14ac:dyDescent="0.3">
      <c r="A18" s="1" t="s">
        <v>54</v>
      </c>
      <c r="B18" s="1" t="s">
        <v>332</v>
      </c>
      <c r="C18" s="1" t="s">
        <v>55</v>
      </c>
      <c r="D18" s="1" t="s">
        <v>326</v>
      </c>
      <c r="E18" s="1" t="s">
        <v>83</v>
      </c>
      <c r="F18" s="1" t="s">
        <v>155</v>
      </c>
      <c r="G18" s="1" t="s">
        <v>168</v>
      </c>
      <c r="H18" s="1"/>
      <c r="I18" s="1" t="s">
        <v>356</v>
      </c>
      <c r="J18" s="1" t="s">
        <v>150</v>
      </c>
      <c r="K18" s="1" t="s">
        <v>155</v>
      </c>
      <c r="L18" s="1" t="s">
        <v>168</v>
      </c>
      <c r="M18">
        <v>120</v>
      </c>
      <c r="N18">
        <v>2</v>
      </c>
      <c r="O18">
        <v>6180</v>
      </c>
      <c r="P18">
        <v>12360</v>
      </c>
      <c r="Q18" s="1" t="s">
        <v>339</v>
      </c>
      <c r="R18" s="2">
        <v>45538</v>
      </c>
      <c r="S18" s="2">
        <v>45551</v>
      </c>
      <c r="T18">
        <v>13</v>
      </c>
      <c r="U18" s="2">
        <v>45550</v>
      </c>
      <c r="V18">
        <v>12</v>
      </c>
      <c r="W18" s="1" t="s">
        <v>199</v>
      </c>
      <c r="X18" s="1" t="s">
        <v>198</v>
      </c>
      <c r="Y18" t="str">
        <f>IF(data[[#This Row],[معاد الانتظار(الفعلي)]]&gt;data[[#This Row],[معاد الانتظار(الهدف)]],"متأخر","في المعاد")</f>
        <v>في المعاد</v>
      </c>
    </row>
    <row r="19" spans="1:25" hidden="1" x14ac:dyDescent="0.3">
      <c r="A19" s="1" t="s">
        <v>58</v>
      </c>
      <c r="B19" s="1" t="s">
        <v>332</v>
      </c>
      <c r="C19" s="1" t="s">
        <v>59</v>
      </c>
      <c r="D19" s="1" t="s">
        <v>326</v>
      </c>
      <c r="E19" s="1" t="s">
        <v>8</v>
      </c>
      <c r="F19" s="1" t="s">
        <v>154</v>
      </c>
      <c r="G19" s="1" t="s">
        <v>167</v>
      </c>
      <c r="H19" s="1"/>
      <c r="I19" s="1" t="s">
        <v>357</v>
      </c>
      <c r="J19" s="1" t="s">
        <v>150</v>
      </c>
      <c r="K19" s="1" t="s">
        <v>154</v>
      </c>
      <c r="L19" s="1" t="s">
        <v>167</v>
      </c>
      <c r="M19">
        <v>80</v>
      </c>
      <c r="N19">
        <v>1</v>
      </c>
      <c r="O19">
        <v>11199</v>
      </c>
      <c r="P19">
        <v>11199</v>
      </c>
      <c r="Q19" s="1" t="s">
        <v>339</v>
      </c>
      <c r="R19" s="2">
        <v>45539</v>
      </c>
      <c r="S19" s="2">
        <v>45553</v>
      </c>
      <c r="T19">
        <v>14</v>
      </c>
      <c r="U19" s="2"/>
      <c r="V19">
        <v>0</v>
      </c>
      <c r="W19" s="1"/>
      <c r="X19" s="1" t="s">
        <v>192</v>
      </c>
      <c r="Y19" t="str">
        <f>IF(data[[#This Row],[معاد الانتظار(الفعلي)]]&gt;data[[#This Row],[معاد الانتظار(الهدف)]],"متأخر","في المعاد")</f>
        <v>في المعاد</v>
      </c>
    </row>
    <row r="20" spans="1:25" hidden="1" x14ac:dyDescent="0.3">
      <c r="A20" s="1" t="s">
        <v>33</v>
      </c>
      <c r="B20" s="1" t="s">
        <v>332</v>
      </c>
      <c r="C20" s="1" t="s">
        <v>67</v>
      </c>
      <c r="D20" s="1" t="s">
        <v>326</v>
      </c>
      <c r="E20" s="1" t="s">
        <v>8</v>
      </c>
      <c r="F20" s="1" t="s">
        <v>177</v>
      </c>
      <c r="G20" s="1" t="s">
        <v>167</v>
      </c>
      <c r="H20" s="1"/>
      <c r="I20" s="1" t="s">
        <v>358</v>
      </c>
      <c r="J20" s="1" t="s">
        <v>150</v>
      </c>
      <c r="K20" s="1" t="s">
        <v>345</v>
      </c>
      <c r="L20" s="1" t="s">
        <v>167</v>
      </c>
      <c r="M20">
        <v>80</v>
      </c>
      <c r="N20">
        <v>4</v>
      </c>
      <c r="O20">
        <v>7987</v>
      </c>
      <c r="P20">
        <v>31948</v>
      </c>
      <c r="Q20" s="1" t="s">
        <v>16</v>
      </c>
      <c r="R20" s="2">
        <v>45541</v>
      </c>
      <c r="S20" s="2">
        <v>45551</v>
      </c>
      <c r="T20">
        <v>10</v>
      </c>
      <c r="U20" s="2">
        <v>45556</v>
      </c>
      <c r="V20">
        <v>15</v>
      </c>
      <c r="W20" s="1" t="s">
        <v>199</v>
      </c>
      <c r="X20" s="1" t="s">
        <v>198</v>
      </c>
      <c r="Y20" t="str">
        <f>IF(data[[#This Row],[معاد الانتظار(الفعلي)]]&gt;data[[#This Row],[معاد الانتظار(الهدف)]],"متأخر","في المعاد")</f>
        <v>متأخر</v>
      </c>
    </row>
    <row r="21" spans="1:25" hidden="1" x14ac:dyDescent="0.3">
      <c r="A21" s="1" t="s">
        <v>41</v>
      </c>
      <c r="B21" s="1" t="s">
        <v>333</v>
      </c>
      <c r="C21" s="1" t="s">
        <v>42</v>
      </c>
      <c r="D21" s="1" t="s">
        <v>326</v>
      </c>
      <c r="E21" s="1" t="s">
        <v>43</v>
      </c>
      <c r="F21" s="1"/>
      <c r="G21" s="1"/>
      <c r="H21" s="1"/>
      <c r="I21" s="1" t="s">
        <v>359</v>
      </c>
      <c r="J21" s="1"/>
      <c r="K21" s="1" t="s">
        <v>346</v>
      </c>
      <c r="L21" s="1"/>
      <c r="N21">
        <v>2</v>
      </c>
      <c r="O21">
        <v>9300</v>
      </c>
      <c r="P21">
        <v>18600</v>
      </c>
      <c r="Q21" s="1" t="s">
        <v>339</v>
      </c>
      <c r="R21" s="2">
        <v>45539</v>
      </c>
      <c r="S21" s="2">
        <v>45550</v>
      </c>
      <c r="T21">
        <v>11</v>
      </c>
      <c r="U21" s="2">
        <v>45552</v>
      </c>
      <c r="V21">
        <v>13</v>
      </c>
      <c r="W21" s="1" t="s">
        <v>199</v>
      </c>
      <c r="X21" s="1" t="s">
        <v>198</v>
      </c>
      <c r="Y21" t="str">
        <f>IF(data[[#This Row],[معاد الانتظار(الفعلي)]]&gt;data[[#This Row],[معاد الانتظار(الهدف)]],"متأخر","في المعاد")</f>
        <v>متأخر</v>
      </c>
    </row>
    <row r="22" spans="1:25" hidden="1" x14ac:dyDescent="0.3">
      <c r="A22" s="1" t="s">
        <v>33</v>
      </c>
      <c r="B22" s="1" t="s">
        <v>332</v>
      </c>
      <c r="C22" s="1" t="s">
        <v>67</v>
      </c>
      <c r="D22" s="1" t="s">
        <v>326</v>
      </c>
      <c r="E22" s="1" t="s">
        <v>8</v>
      </c>
      <c r="F22" s="1" t="s">
        <v>177</v>
      </c>
      <c r="G22" s="1" t="s">
        <v>167</v>
      </c>
      <c r="H22" s="1"/>
      <c r="I22" s="1" t="s">
        <v>358</v>
      </c>
      <c r="J22" s="1" t="s">
        <v>150</v>
      </c>
      <c r="K22" s="1" t="s">
        <v>345</v>
      </c>
      <c r="L22" s="1" t="s">
        <v>167</v>
      </c>
      <c r="M22">
        <v>80</v>
      </c>
      <c r="N22">
        <v>4</v>
      </c>
      <c r="O22">
        <v>7987</v>
      </c>
      <c r="P22">
        <v>31948</v>
      </c>
      <c r="Q22" s="1" t="s">
        <v>16</v>
      </c>
      <c r="R22" s="2">
        <v>45541</v>
      </c>
      <c r="S22" s="2">
        <v>45551</v>
      </c>
      <c r="T22">
        <v>10</v>
      </c>
      <c r="U22" s="2">
        <v>45556</v>
      </c>
      <c r="V22">
        <v>15</v>
      </c>
      <c r="W22" s="1" t="s">
        <v>199</v>
      </c>
      <c r="X22" s="1" t="s">
        <v>198</v>
      </c>
      <c r="Y22" t="str">
        <f>IF(data[[#This Row],[معاد الانتظار(الفعلي)]]&gt;data[[#This Row],[معاد الانتظار(الهدف)]],"متأخر","في المعاد")</f>
        <v>متأخر</v>
      </c>
    </row>
    <row r="23" spans="1:25" hidden="1" x14ac:dyDescent="0.3">
      <c r="A23" s="1" t="s">
        <v>33</v>
      </c>
      <c r="B23" s="1" t="s">
        <v>332</v>
      </c>
      <c r="C23" s="1" t="s">
        <v>67</v>
      </c>
      <c r="D23" s="1" t="s">
        <v>326</v>
      </c>
      <c r="E23" s="1" t="s">
        <v>8</v>
      </c>
      <c r="F23" s="1" t="s">
        <v>177</v>
      </c>
      <c r="G23" s="1" t="s">
        <v>167</v>
      </c>
      <c r="H23" s="1"/>
      <c r="I23" s="1" t="s">
        <v>358</v>
      </c>
      <c r="J23" s="1" t="s">
        <v>150</v>
      </c>
      <c r="K23" s="1" t="s">
        <v>345</v>
      </c>
      <c r="L23" s="1" t="s">
        <v>167</v>
      </c>
      <c r="M23">
        <v>80</v>
      </c>
      <c r="N23">
        <v>4</v>
      </c>
      <c r="O23">
        <v>7987</v>
      </c>
      <c r="P23">
        <v>31948</v>
      </c>
      <c r="Q23" s="1" t="s">
        <v>16</v>
      </c>
      <c r="R23" s="2">
        <v>45541</v>
      </c>
      <c r="S23" s="2">
        <v>45551</v>
      </c>
      <c r="T23">
        <v>10</v>
      </c>
      <c r="U23" s="2">
        <v>45556</v>
      </c>
      <c r="V23">
        <v>15</v>
      </c>
      <c r="W23" s="1" t="s">
        <v>199</v>
      </c>
      <c r="X23" s="1" t="s">
        <v>198</v>
      </c>
      <c r="Y23" t="str">
        <f>IF(data[[#This Row],[معاد الانتظار(الفعلي)]]&gt;data[[#This Row],[معاد الانتظار(الهدف)]],"متأخر","في المعاد")</f>
        <v>متأخر</v>
      </c>
    </row>
    <row r="24" spans="1:25" hidden="1" x14ac:dyDescent="0.3">
      <c r="A24" s="1" t="s">
        <v>33</v>
      </c>
      <c r="B24" s="1" t="s">
        <v>332</v>
      </c>
      <c r="C24" s="1" t="s">
        <v>67</v>
      </c>
      <c r="D24" s="1" t="s">
        <v>326</v>
      </c>
      <c r="E24" s="1" t="s">
        <v>8</v>
      </c>
      <c r="F24" s="1" t="s">
        <v>177</v>
      </c>
      <c r="G24" s="1" t="s">
        <v>167</v>
      </c>
      <c r="H24" s="1"/>
      <c r="I24" s="1" t="s">
        <v>358</v>
      </c>
      <c r="J24" s="1" t="s">
        <v>150</v>
      </c>
      <c r="K24" s="1" t="s">
        <v>345</v>
      </c>
      <c r="L24" s="1" t="s">
        <v>167</v>
      </c>
      <c r="M24">
        <v>80</v>
      </c>
      <c r="N24">
        <v>4</v>
      </c>
      <c r="O24">
        <v>7987</v>
      </c>
      <c r="P24">
        <v>31948</v>
      </c>
      <c r="Q24" s="1" t="s">
        <v>16</v>
      </c>
      <c r="R24" s="2">
        <v>45541</v>
      </c>
      <c r="S24" s="2">
        <v>45551</v>
      </c>
      <c r="T24">
        <v>10</v>
      </c>
      <c r="U24" s="2">
        <v>45556</v>
      </c>
      <c r="V24">
        <v>15</v>
      </c>
      <c r="W24" s="1" t="s">
        <v>199</v>
      </c>
      <c r="X24" s="1" t="s">
        <v>198</v>
      </c>
      <c r="Y24" t="str">
        <f>IF(data[[#This Row],[معاد الانتظار(الفعلي)]]&gt;data[[#This Row],[معاد الانتظار(الهدف)]],"متأخر","في المعاد")</f>
        <v>متأخر</v>
      </c>
    </row>
    <row r="25" spans="1:25" hidden="1" x14ac:dyDescent="0.3">
      <c r="A25" s="1" t="s">
        <v>106</v>
      </c>
      <c r="B25" s="1" t="s">
        <v>332</v>
      </c>
      <c r="C25" s="1" t="s">
        <v>107</v>
      </c>
      <c r="D25" s="1" t="s">
        <v>326</v>
      </c>
      <c r="E25" s="1" t="s">
        <v>8</v>
      </c>
      <c r="F25" s="1"/>
      <c r="G25" s="1"/>
      <c r="H25" s="1"/>
      <c r="I25" s="1" t="s">
        <v>63</v>
      </c>
      <c r="J25" s="1" t="s">
        <v>389</v>
      </c>
      <c r="K25" s="1" t="s">
        <v>341</v>
      </c>
      <c r="L25" s="1"/>
      <c r="N25">
        <v>1</v>
      </c>
      <c r="O25">
        <v>8849</v>
      </c>
      <c r="P25">
        <v>8849</v>
      </c>
      <c r="Q25" s="1" t="s">
        <v>16</v>
      </c>
      <c r="R25" s="2">
        <v>45538</v>
      </c>
      <c r="S25" s="2">
        <v>45581</v>
      </c>
      <c r="T25">
        <v>43</v>
      </c>
      <c r="U25" s="2"/>
      <c r="V25">
        <v>0</v>
      </c>
      <c r="W25" s="1"/>
      <c r="X25" s="1" t="s">
        <v>192</v>
      </c>
      <c r="Y25" t="str">
        <f>IF(data[[#This Row],[معاد الانتظار(الفعلي)]]&gt;data[[#This Row],[معاد الانتظار(الهدف)]],"متأخر","في المعاد")</f>
        <v>في المعاد</v>
      </c>
    </row>
    <row r="26" spans="1:25" hidden="1" x14ac:dyDescent="0.3">
      <c r="A26" s="1" t="s">
        <v>69</v>
      </c>
      <c r="B26" s="1" t="s">
        <v>332</v>
      </c>
      <c r="C26" s="1" t="s">
        <v>39</v>
      </c>
      <c r="D26" s="1" t="s">
        <v>322</v>
      </c>
      <c r="E26" s="1" t="s">
        <v>8</v>
      </c>
      <c r="F26" s="1" t="s">
        <v>156</v>
      </c>
      <c r="G26" s="1" t="s">
        <v>167</v>
      </c>
      <c r="H26" s="1"/>
      <c r="I26" s="1" t="s">
        <v>360</v>
      </c>
      <c r="J26" s="1" t="s">
        <v>150</v>
      </c>
      <c r="K26" s="1" t="s">
        <v>156</v>
      </c>
      <c r="L26" s="1" t="s">
        <v>167</v>
      </c>
      <c r="M26">
        <v>120</v>
      </c>
      <c r="N26">
        <v>2</v>
      </c>
      <c r="O26">
        <v>10987</v>
      </c>
      <c r="P26">
        <v>21974</v>
      </c>
      <c r="Q26" s="1" t="s">
        <v>16</v>
      </c>
      <c r="R26" s="2">
        <v>45544</v>
      </c>
      <c r="S26" s="2">
        <v>45552</v>
      </c>
      <c r="T26">
        <v>8</v>
      </c>
      <c r="U26" s="2">
        <v>45556</v>
      </c>
      <c r="V26">
        <v>12</v>
      </c>
      <c r="W26" s="1" t="s">
        <v>199</v>
      </c>
      <c r="X26" s="1" t="s">
        <v>198</v>
      </c>
      <c r="Y26" t="str">
        <f>IF(data[[#This Row],[معاد الانتظار(الفعلي)]]&gt;data[[#This Row],[معاد الانتظار(الهدف)]],"متأخر","في المعاد")</f>
        <v>متأخر</v>
      </c>
    </row>
    <row r="27" spans="1:25" hidden="1" x14ac:dyDescent="0.3">
      <c r="A27" s="1" t="s">
        <v>52</v>
      </c>
      <c r="B27" s="1" t="s">
        <v>333</v>
      </c>
      <c r="C27" s="1"/>
      <c r="D27" s="1"/>
      <c r="E27" s="1" t="s">
        <v>52</v>
      </c>
      <c r="F27" s="1" t="s">
        <v>154</v>
      </c>
      <c r="G27" s="1" t="s">
        <v>167</v>
      </c>
      <c r="H27" s="1"/>
      <c r="I27" s="1" t="s">
        <v>51</v>
      </c>
      <c r="J27" s="1" t="s">
        <v>150</v>
      </c>
      <c r="K27" s="1" t="s">
        <v>154</v>
      </c>
      <c r="L27" s="1" t="s">
        <v>167</v>
      </c>
      <c r="M27">
        <v>100</v>
      </c>
      <c r="N27">
        <v>1</v>
      </c>
      <c r="O27">
        <v>9208</v>
      </c>
      <c r="P27">
        <v>9208</v>
      </c>
      <c r="Q27" s="1" t="s">
        <v>339</v>
      </c>
      <c r="R27" s="2">
        <v>45536</v>
      </c>
      <c r="S27" s="2">
        <v>45554</v>
      </c>
      <c r="T27">
        <v>18</v>
      </c>
      <c r="U27" s="2">
        <v>45556</v>
      </c>
      <c r="V27">
        <v>20</v>
      </c>
      <c r="W27" s="1" t="s">
        <v>199</v>
      </c>
      <c r="X27" s="1" t="s">
        <v>198</v>
      </c>
      <c r="Y27" t="str">
        <f>IF(data[[#This Row],[معاد الانتظار(الفعلي)]]&gt;data[[#This Row],[معاد الانتظار(الهدف)]],"متأخر","في المعاد")</f>
        <v>متأخر</v>
      </c>
    </row>
    <row r="28" spans="1:25" hidden="1" x14ac:dyDescent="0.3">
      <c r="A28" s="1" t="s">
        <v>52</v>
      </c>
      <c r="B28" s="1" t="s">
        <v>333</v>
      </c>
      <c r="C28" s="1"/>
      <c r="D28" s="1"/>
      <c r="E28" s="1" t="s">
        <v>52</v>
      </c>
      <c r="F28" s="1" t="s">
        <v>154</v>
      </c>
      <c r="G28" s="1" t="s">
        <v>168</v>
      </c>
      <c r="H28" s="1"/>
      <c r="I28" s="1" t="s">
        <v>53</v>
      </c>
      <c r="J28" s="1" t="s">
        <v>150</v>
      </c>
      <c r="K28" s="1" t="s">
        <v>154</v>
      </c>
      <c r="L28" s="1" t="s">
        <v>168</v>
      </c>
      <c r="M28">
        <v>100</v>
      </c>
      <c r="N28">
        <v>1</v>
      </c>
      <c r="O28">
        <v>9208</v>
      </c>
      <c r="P28">
        <v>9208</v>
      </c>
      <c r="Q28" s="1" t="s">
        <v>339</v>
      </c>
      <c r="R28" s="2">
        <v>45536</v>
      </c>
      <c r="S28" s="2">
        <v>45554</v>
      </c>
      <c r="T28">
        <v>18</v>
      </c>
      <c r="U28" s="2">
        <v>45556</v>
      </c>
      <c r="V28">
        <v>20</v>
      </c>
      <c r="W28" s="1" t="s">
        <v>199</v>
      </c>
      <c r="X28" s="1" t="s">
        <v>198</v>
      </c>
      <c r="Y28" t="str">
        <f>IF(data[[#This Row],[معاد الانتظار(الفعلي)]]&gt;data[[#This Row],[معاد الانتظار(الهدف)]],"متأخر","في المعاد")</f>
        <v>متأخر</v>
      </c>
    </row>
    <row r="29" spans="1:25" hidden="1" x14ac:dyDescent="0.3">
      <c r="A29" s="1" t="s">
        <v>83</v>
      </c>
      <c r="B29" s="1" t="s">
        <v>333</v>
      </c>
      <c r="C29" s="1" t="s">
        <v>84</v>
      </c>
      <c r="D29" s="1" t="s">
        <v>327</v>
      </c>
      <c r="E29" s="1" t="s">
        <v>83</v>
      </c>
      <c r="F29" s="1" t="s">
        <v>177</v>
      </c>
      <c r="G29" s="1" t="s">
        <v>167</v>
      </c>
      <c r="H29" s="1"/>
      <c r="I29" s="1" t="s">
        <v>361</v>
      </c>
      <c r="J29" s="1" t="s">
        <v>150</v>
      </c>
      <c r="K29" s="1" t="s">
        <v>177</v>
      </c>
      <c r="L29" s="1" t="s">
        <v>167</v>
      </c>
      <c r="M29">
        <v>120</v>
      </c>
      <c r="N29">
        <v>2</v>
      </c>
      <c r="O29">
        <v>4020</v>
      </c>
      <c r="P29">
        <v>8040</v>
      </c>
      <c r="Q29" s="1" t="s">
        <v>85</v>
      </c>
      <c r="R29" s="2">
        <v>45547</v>
      </c>
      <c r="S29" s="2">
        <v>45556</v>
      </c>
      <c r="T29">
        <v>9</v>
      </c>
      <c r="U29" s="2">
        <v>45557</v>
      </c>
      <c r="V29">
        <v>10</v>
      </c>
      <c r="W29" s="1" t="s">
        <v>199</v>
      </c>
      <c r="X29" s="1" t="s">
        <v>198</v>
      </c>
      <c r="Y29" t="str">
        <f>IF(data[[#This Row],[معاد الانتظار(الفعلي)]]&gt;data[[#This Row],[معاد الانتظار(الهدف)]],"متأخر","في المعاد")</f>
        <v>متأخر</v>
      </c>
    </row>
    <row r="30" spans="1:25" hidden="1" x14ac:dyDescent="0.3">
      <c r="A30" s="1" t="s">
        <v>83</v>
      </c>
      <c r="B30" s="1" t="s">
        <v>333</v>
      </c>
      <c r="C30" s="1" t="s">
        <v>84</v>
      </c>
      <c r="D30" s="1" t="s">
        <v>327</v>
      </c>
      <c r="E30" s="1" t="s">
        <v>83</v>
      </c>
      <c r="F30" s="1" t="s">
        <v>177</v>
      </c>
      <c r="G30" s="1" t="s">
        <v>167</v>
      </c>
      <c r="H30" s="1"/>
      <c r="I30" s="1" t="s">
        <v>361</v>
      </c>
      <c r="J30" s="1" t="s">
        <v>150</v>
      </c>
      <c r="K30" s="1" t="s">
        <v>177</v>
      </c>
      <c r="L30" s="1" t="s">
        <v>167</v>
      </c>
      <c r="M30">
        <v>120</v>
      </c>
      <c r="N30">
        <v>2</v>
      </c>
      <c r="O30">
        <v>4020</v>
      </c>
      <c r="P30">
        <v>8040</v>
      </c>
      <c r="Q30" s="1" t="s">
        <v>85</v>
      </c>
      <c r="R30" s="2">
        <v>45547</v>
      </c>
      <c r="S30" s="2">
        <v>45556</v>
      </c>
      <c r="T30">
        <v>9</v>
      </c>
      <c r="U30" s="2">
        <v>45557</v>
      </c>
      <c r="V30">
        <v>10</v>
      </c>
      <c r="W30" s="1" t="s">
        <v>199</v>
      </c>
      <c r="X30" s="1" t="s">
        <v>198</v>
      </c>
      <c r="Y30" t="str">
        <f>IF(data[[#This Row],[معاد الانتظار(الفعلي)]]&gt;data[[#This Row],[معاد الانتظار(الهدف)]],"متأخر","في المعاد")</f>
        <v>متأخر</v>
      </c>
    </row>
    <row r="31" spans="1:25" hidden="1" x14ac:dyDescent="0.3">
      <c r="A31" s="1" t="s">
        <v>83</v>
      </c>
      <c r="B31" s="1" t="s">
        <v>333</v>
      </c>
      <c r="C31" s="1" t="s">
        <v>84</v>
      </c>
      <c r="D31" s="1" t="s">
        <v>327</v>
      </c>
      <c r="E31" s="1" t="s">
        <v>83</v>
      </c>
      <c r="F31" s="1" t="s">
        <v>169</v>
      </c>
      <c r="G31" s="1" t="s">
        <v>168</v>
      </c>
      <c r="H31" s="1"/>
      <c r="I31" s="1" t="s">
        <v>362</v>
      </c>
      <c r="J31" s="1" t="s">
        <v>150</v>
      </c>
      <c r="K31" s="1" t="s">
        <v>169</v>
      </c>
      <c r="L31" s="1" t="s">
        <v>168</v>
      </c>
      <c r="M31">
        <v>120</v>
      </c>
      <c r="N31">
        <v>2</v>
      </c>
      <c r="O31">
        <v>4020</v>
      </c>
      <c r="P31">
        <v>8040</v>
      </c>
      <c r="Q31" s="1" t="s">
        <v>16</v>
      </c>
      <c r="R31" s="2">
        <v>45547</v>
      </c>
      <c r="S31" s="2">
        <v>45556</v>
      </c>
      <c r="T31">
        <v>9</v>
      </c>
      <c r="U31" s="2">
        <v>45557</v>
      </c>
      <c r="V31">
        <v>10</v>
      </c>
      <c r="W31" s="1" t="s">
        <v>199</v>
      </c>
      <c r="X31" s="1" t="s">
        <v>198</v>
      </c>
      <c r="Y31" t="str">
        <f>IF(data[[#This Row],[معاد الانتظار(الفعلي)]]&gt;data[[#This Row],[معاد الانتظار(الهدف)]],"متأخر","في المعاد")</f>
        <v>متأخر</v>
      </c>
    </row>
    <row r="32" spans="1:25" hidden="1" x14ac:dyDescent="0.3">
      <c r="A32" s="1" t="s">
        <v>83</v>
      </c>
      <c r="B32" s="1" t="s">
        <v>333</v>
      </c>
      <c r="C32" s="1" t="s">
        <v>84</v>
      </c>
      <c r="D32" s="1" t="s">
        <v>327</v>
      </c>
      <c r="E32" s="1" t="s">
        <v>83</v>
      </c>
      <c r="F32" s="1" t="s">
        <v>169</v>
      </c>
      <c r="G32" s="1" t="s">
        <v>168</v>
      </c>
      <c r="H32" s="1"/>
      <c r="I32" s="1" t="s">
        <v>362</v>
      </c>
      <c r="J32" s="1" t="s">
        <v>150</v>
      </c>
      <c r="K32" s="1" t="s">
        <v>169</v>
      </c>
      <c r="L32" s="1" t="s">
        <v>168</v>
      </c>
      <c r="M32">
        <v>120</v>
      </c>
      <c r="N32">
        <v>2</v>
      </c>
      <c r="O32">
        <v>4020</v>
      </c>
      <c r="P32">
        <v>8040</v>
      </c>
      <c r="Q32" s="1" t="s">
        <v>16</v>
      </c>
      <c r="R32" s="2">
        <v>45547</v>
      </c>
      <c r="S32" s="2">
        <v>45556</v>
      </c>
      <c r="T32">
        <v>9</v>
      </c>
      <c r="U32" s="2">
        <v>45557</v>
      </c>
      <c r="V32">
        <v>10</v>
      </c>
      <c r="W32" s="1" t="s">
        <v>199</v>
      </c>
      <c r="X32" s="1" t="s">
        <v>198</v>
      </c>
      <c r="Y32" t="str">
        <f>IF(data[[#This Row],[معاد الانتظار(الفعلي)]]&gt;data[[#This Row],[معاد الانتظار(الهدف)]],"متأخر","في المعاد")</f>
        <v>متأخر</v>
      </c>
    </row>
    <row r="33" spans="1:25" hidden="1" x14ac:dyDescent="0.3">
      <c r="A33" s="1" t="s">
        <v>143</v>
      </c>
      <c r="B33" s="1" t="s">
        <v>332</v>
      </c>
      <c r="C33" s="1" t="s">
        <v>144</v>
      </c>
      <c r="D33" s="1" t="s">
        <v>212</v>
      </c>
      <c r="E33" s="1" t="s">
        <v>8</v>
      </c>
      <c r="F33" s="1"/>
      <c r="G33" s="1" t="s">
        <v>168</v>
      </c>
      <c r="H33" s="1" t="s">
        <v>168</v>
      </c>
      <c r="I33" s="1" t="s">
        <v>347</v>
      </c>
      <c r="J33" s="1" t="s">
        <v>150</v>
      </c>
      <c r="K33" s="1"/>
      <c r="L33" s="1" t="s">
        <v>168</v>
      </c>
      <c r="N33">
        <v>1</v>
      </c>
      <c r="O33">
        <v>9399</v>
      </c>
      <c r="P33">
        <v>9399</v>
      </c>
      <c r="Q33" s="1" t="s">
        <v>16</v>
      </c>
      <c r="R33" s="2">
        <v>45549</v>
      </c>
      <c r="S33" s="2">
        <v>45557</v>
      </c>
      <c r="T33">
        <v>8</v>
      </c>
      <c r="U33" s="2"/>
      <c r="V33">
        <v>0</v>
      </c>
      <c r="W33" s="1"/>
      <c r="X33" s="1" t="s">
        <v>192</v>
      </c>
      <c r="Y33" t="str">
        <f>IF(data[[#This Row],[معاد الانتظار(الفعلي)]]&gt;data[[#This Row],[معاد الانتظار(الهدف)]],"متأخر","في المعاد")</f>
        <v>في المعاد</v>
      </c>
    </row>
    <row r="34" spans="1:25" hidden="1" x14ac:dyDescent="0.3">
      <c r="A34" s="1" t="s">
        <v>147</v>
      </c>
      <c r="B34" s="1" t="s">
        <v>332</v>
      </c>
      <c r="C34" s="1" t="s">
        <v>148</v>
      </c>
      <c r="D34" s="1" t="s">
        <v>323</v>
      </c>
      <c r="E34" s="1" t="s">
        <v>8</v>
      </c>
      <c r="F34" s="1"/>
      <c r="G34" s="1"/>
      <c r="H34" s="1"/>
      <c r="I34" s="1" t="s">
        <v>149</v>
      </c>
      <c r="J34" s="1" t="s">
        <v>389</v>
      </c>
      <c r="K34" s="1" t="s">
        <v>341</v>
      </c>
      <c r="L34" s="1"/>
      <c r="N34">
        <v>1</v>
      </c>
      <c r="O34">
        <v>8349</v>
      </c>
      <c r="P34">
        <v>8349</v>
      </c>
      <c r="Q34" s="1" t="s">
        <v>16</v>
      </c>
      <c r="R34" s="2">
        <v>45549</v>
      </c>
      <c r="S34" s="2">
        <v>45557</v>
      </c>
      <c r="T34">
        <v>8</v>
      </c>
      <c r="U34" s="2">
        <v>45559</v>
      </c>
      <c r="V34">
        <v>10</v>
      </c>
      <c r="W34" s="1" t="s">
        <v>28</v>
      </c>
      <c r="X34" s="1" t="s">
        <v>198</v>
      </c>
      <c r="Y34" t="str">
        <f>IF(data[[#This Row],[معاد الانتظار(الفعلي)]]&gt;data[[#This Row],[معاد الانتظار(الهدف)]],"متأخر","في المعاد")</f>
        <v>متأخر</v>
      </c>
    </row>
    <row r="35" spans="1:25" hidden="1" x14ac:dyDescent="0.3">
      <c r="A35" s="1" t="s">
        <v>104</v>
      </c>
      <c r="B35" s="1" t="s">
        <v>332</v>
      </c>
      <c r="C35" s="1" t="s">
        <v>39</v>
      </c>
      <c r="D35" s="1" t="s">
        <v>322</v>
      </c>
      <c r="E35" s="1" t="s">
        <v>8</v>
      </c>
      <c r="F35" s="1"/>
      <c r="G35" s="1" t="s">
        <v>168</v>
      </c>
      <c r="H35" s="1" t="s">
        <v>168</v>
      </c>
      <c r="I35" s="1" t="s">
        <v>105</v>
      </c>
      <c r="J35" s="1" t="s">
        <v>150</v>
      </c>
      <c r="K35" s="1" t="s">
        <v>151</v>
      </c>
      <c r="L35" s="1" t="s">
        <v>168</v>
      </c>
      <c r="N35">
        <v>1</v>
      </c>
      <c r="O35">
        <v>9399</v>
      </c>
      <c r="P35">
        <v>9399</v>
      </c>
      <c r="Q35" s="1" t="s">
        <v>16</v>
      </c>
      <c r="R35" s="2">
        <v>45548</v>
      </c>
      <c r="S35" s="2">
        <v>45559</v>
      </c>
      <c r="T35">
        <v>11</v>
      </c>
      <c r="U35" s="2">
        <v>45566</v>
      </c>
      <c r="V35">
        <v>18</v>
      </c>
      <c r="W35" s="1" t="s">
        <v>28</v>
      </c>
      <c r="X35" s="1" t="s">
        <v>198</v>
      </c>
      <c r="Y35" t="str">
        <f>IF(data[[#This Row],[معاد الانتظار(الفعلي)]]&gt;data[[#This Row],[معاد الانتظار(الهدف)]],"متأخر","في المعاد")</f>
        <v>متأخر</v>
      </c>
    </row>
    <row r="36" spans="1:25" hidden="1" x14ac:dyDescent="0.3">
      <c r="A36" s="1" t="s">
        <v>71</v>
      </c>
      <c r="B36" s="1" t="s">
        <v>332</v>
      </c>
      <c r="C36" s="1" t="s">
        <v>72</v>
      </c>
      <c r="D36" s="1" t="s">
        <v>326</v>
      </c>
      <c r="E36" s="1" t="s">
        <v>8</v>
      </c>
      <c r="F36" s="1"/>
      <c r="G36" s="1"/>
      <c r="H36" s="1"/>
      <c r="I36" s="1" t="s">
        <v>63</v>
      </c>
      <c r="J36" s="1" t="s">
        <v>389</v>
      </c>
      <c r="K36" s="1" t="s">
        <v>341</v>
      </c>
      <c r="L36" s="1"/>
      <c r="N36">
        <v>1</v>
      </c>
      <c r="O36">
        <v>7849</v>
      </c>
      <c r="P36">
        <v>7849</v>
      </c>
      <c r="Q36" s="1" t="s">
        <v>339</v>
      </c>
      <c r="R36" s="2">
        <v>45547</v>
      </c>
      <c r="S36" s="2">
        <v>45561</v>
      </c>
      <c r="T36">
        <v>14</v>
      </c>
      <c r="U36" s="2"/>
      <c r="V36">
        <v>0</v>
      </c>
      <c r="W36" s="1" t="s">
        <v>28</v>
      </c>
      <c r="X36" s="1" t="s">
        <v>198</v>
      </c>
      <c r="Y36" t="str">
        <f>IF(data[[#This Row],[معاد الانتظار(الفعلي)]]&gt;data[[#This Row],[معاد الانتظار(الهدف)]],"متأخر","في المعاد")</f>
        <v>في المعاد</v>
      </c>
    </row>
    <row r="37" spans="1:25" hidden="1" x14ac:dyDescent="0.3">
      <c r="A37" s="1" t="s">
        <v>79</v>
      </c>
      <c r="B37" s="1" t="s">
        <v>332</v>
      </c>
      <c r="C37" s="1" t="s">
        <v>80</v>
      </c>
      <c r="D37" s="1" t="s">
        <v>322</v>
      </c>
      <c r="E37" s="1" t="s">
        <v>282</v>
      </c>
      <c r="F37" s="1" t="s">
        <v>155</v>
      </c>
      <c r="G37" s="1" t="s">
        <v>168</v>
      </c>
      <c r="H37" s="1"/>
      <c r="I37" s="1" t="s">
        <v>363</v>
      </c>
      <c r="J37" s="1" t="s">
        <v>150</v>
      </c>
      <c r="K37" s="1"/>
      <c r="L37" s="1" t="s">
        <v>168</v>
      </c>
      <c r="M37">
        <v>100</v>
      </c>
      <c r="N37">
        <v>3</v>
      </c>
      <c r="O37">
        <v>9450</v>
      </c>
      <c r="P37">
        <v>28350</v>
      </c>
      <c r="Q37" s="1" t="s">
        <v>339</v>
      </c>
      <c r="R37" s="2">
        <v>45547</v>
      </c>
      <c r="S37" s="2">
        <v>45561</v>
      </c>
      <c r="T37">
        <v>14</v>
      </c>
      <c r="U37" s="2"/>
      <c r="V37">
        <v>0</v>
      </c>
      <c r="W37" s="1"/>
      <c r="X37" s="1" t="s">
        <v>192</v>
      </c>
      <c r="Y37" t="str">
        <f>IF(data[[#This Row],[معاد الانتظار(الفعلي)]]&gt;data[[#This Row],[معاد الانتظار(الهدف)]],"متأخر","في المعاد")</f>
        <v>في المعاد</v>
      </c>
    </row>
    <row r="38" spans="1:25" hidden="1" x14ac:dyDescent="0.3">
      <c r="A38" s="1" t="s">
        <v>95</v>
      </c>
      <c r="B38" s="1" t="s">
        <v>332</v>
      </c>
      <c r="C38" s="1" t="s">
        <v>67</v>
      </c>
      <c r="D38" s="1" t="s">
        <v>326</v>
      </c>
      <c r="E38" s="1" t="s">
        <v>8</v>
      </c>
      <c r="F38" s="1" t="s">
        <v>156</v>
      </c>
      <c r="G38" s="1" t="s">
        <v>168</v>
      </c>
      <c r="H38" s="1"/>
      <c r="I38" s="1" t="s">
        <v>364</v>
      </c>
      <c r="J38" s="1" t="s">
        <v>150</v>
      </c>
      <c r="K38" s="1" t="s">
        <v>156</v>
      </c>
      <c r="L38" s="1" t="s">
        <v>168</v>
      </c>
      <c r="M38">
        <v>120</v>
      </c>
      <c r="N38">
        <v>2</v>
      </c>
      <c r="O38">
        <v>7460</v>
      </c>
      <c r="P38">
        <v>14920</v>
      </c>
      <c r="Q38" s="1" t="s">
        <v>16</v>
      </c>
      <c r="R38" s="2">
        <v>45548</v>
      </c>
      <c r="S38" s="2">
        <v>45561</v>
      </c>
      <c r="T38">
        <v>13</v>
      </c>
      <c r="U38" s="2">
        <v>45568</v>
      </c>
      <c r="V38">
        <v>20</v>
      </c>
      <c r="W38" s="1" t="s">
        <v>199</v>
      </c>
      <c r="X38" s="1" t="s">
        <v>198</v>
      </c>
      <c r="Y38" t="str">
        <f>IF(data[[#This Row],[معاد الانتظار(الفعلي)]]&gt;data[[#This Row],[معاد الانتظار(الهدف)]],"متأخر","في المعاد")</f>
        <v>متأخر</v>
      </c>
    </row>
    <row r="39" spans="1:25" hidden="1" x14ac:dyDescent="0.3">
      <c r="A39" s="1" t="s">
        <v>99</v>
      </c>
      <c r="B39" s="1" t="s">
        <v>332</v>
      </c>
      <c r="C39" s="1" t="s">
        <v>67</v>
      </c>
      <c r="D39" s="1" t="s">
        <v>326</v>
      </c>
      <c r="E39" s="1" t="s">
        <v>8</v>
      </c>
      <c r="F39" s="1" t="s">
        <v>178</v>
      </c>
      <c r="G39" s="1" t="s">
        <v>176</v>
      </c>
      <c r="H39" s="1" t="s">
        <v>172</v>
      </c>
      <c r="I39" s="1" t="s">
        <v>365</v>
      </c>
      <c r="J39" s="1" t="s">
        <v>150</v>
      </c>
      <c r="K39" s="1" t="s">
        <v>348</v>
      </c>
      <c r="L39" s="1" t="s">
        <v>172</v>
      </c>
      <c r="M39">
        <v>140</v>
      </c>
      <c r="N39">
        <v>4</v>
      </c>
      <c r="O39">
        <v>9528</v>
      </c>
      <c r="P39">
        <v>38112</v>
      </c>
      <c r="Q39" s="1" t="s">
        <v>16</v>
      </c>
      <c r="R39" s="2">
        <v>45548</v>
      </c>
      <c r="S39" s="2">
        <v>45561</v>
      </c>
      <c r="T39">
        <v>13</v>
      </c>
      <c r="U39" s="2">
        <v>45568</v>
      </c>
      <c r="V39">
        <v>20</v>
      </c>
      <c r="W39" s="1" t="s">
        <v>199</v>
      </c>
      <c r="X39" s="1" t="s">
        <v>198</v>
      </c>
      <c r="Y39" t="str">
        <f>IF(data[[#This Row],[معاد الانتظار(الفعلي)]]&gt;data[[#This Row],[معاد الانتظار(الهدف)]],"متأخر","في المعاد")</f>
        <v>متأخر</v>
      </c>
    </row>
    <row r="40" spans="1:25" hidden="1" x14ac:dyDescent="0.3">
      <c r="A40" s="1" t="s">
        <v>141</v>
      </c>
      <c r="B40" s="1" t="s">
        <v>332</v>
      </c>
      <c r="C40" s="1" t="s">
        <v>39</v>
      </c>
      <c r="D40" s="1" t="s">
        <v>322</v>
      </c>
      <c r="E40" s="1" t="s">
        <v>8</v>
      </c>
      <c r="F40" s="1" t="s">
        <v>155</v>
      </c>
      <c r="G40" s="1" t="s">
        <v>172</v>
      </c>
      <c r="H40" s="1"/>
      <c r="I40" s="1" t="s">
        <v>366</v>
      </c>
      <c r="J40" s="1" t="s">
        <v>150</v>
      </c>
      <c r="K40" s="1" t="s">
        <v>155</v>
      </c>
      <c r="L40" s="1" t="s">
        <v>172</v>
      </c>
      <c r="M40">
        <v>120</v>
      </c>
      <c r="N40">
        <v>2</v>
      </c>
      <c r="O40">
        <v>12999</v>
      </c>
      <c r="P40">
        <v>25998</v>
      </c>
      <c r="Q40" s="1" t="s">
        <v>16</v>
      </c>
      <c r="R40" s="2">
        <v>45549</v>
      </c>
      <c r="S40" s="2">
        <v>45562</v>
      </c>
      <c r="T40">
        <v>13</v>
      </c>
      <c r="U40" s="2">
        <v>45567</v>
      </c>
      <c r="V40">
        <v>18</v>
      </c>
      <c r="W40" s="1" t="s">
        <v>199</v>
      </c>
      <c r="X40" s="1" t="s">
        <v>198</v>
      </c>
      <c r="Y40" t="str">
        <f>IF(data[[#This Row],[معاد الانتظار(الفعلي)]]&gt;data[[#This Row],[معاد الانتظار(الهدف)]],"متأخر","في المعاد")</f>
        <v>متأخر</v>
      </c>
    </row>
    <row r="41" spans="1:25" hidden="1" x14ac:dyDescent="0.3">
      <c r="A41" s="1" t="s">
        <v>73</v>
      </c>
      <c r="B41" s="1" t="s">
        <v>332</v>
      </c>
      <c r="C41" s="1" t="s">
        <v>74</v>
      </c>
      <c r="D41" s="1" t="s">
        <v>326</v>
      </c>
      <c r="E41" s="1" t="s">
        <v>8</v>
      </c>
      <c r="F41" s="1" t="s">
        <v>152</v>
      </c>
      <c r="G41" s="1" t="s">
        <v>168</v>
      </c>
      <c r="H41" s="1"/>
      <c r="I41" s="1" t="s">
        <v>367</v>
      </c>
      <c r="J41" s="1" t="s">
        <v>150</v>
      </c>
      <c r="K41" s="1" t="s">
        <v>152</v>
      </c>
      <c r="L41" s="1" t="s">
        <v>168</v>
      </c>
      <c r="M41">
        <v>90</v>
      </c>
      <c r="N41">
        <v>1</v>
      </c>
      <c r="O41">
        <v>5999</v>
      </c>
      <c r="P41">
        <v>5999</v>
      </c>
      <c r="Q41" s="1" t="s">
        <v>16</v>
      </c>
      <c r="R41" s="2">
        <v>45547</v>
      </c>
      <c r="S41" s="2">
        <v>45564</v>
      </c>
      <c r="T41">
        <v>17</v>
      </c>
      <c r="U41" s="2"/>
      <c r="V41">
        <v>0</v>
      </c>
      <c r="W41" s="1"/>
      <c r="X41" s="1"/>
      <c r="Y41" t="str">
        <f>IF(data[[#This Row],[معاد الانتظار(الفعلي)]]&gt;data[[#This Row],[معاد الانتظار(الهدف)]],"متأخر","في المعاد")</f>
        <v>في المعاد</v>
      </c>
    </row>
    <row r="42" spans="1:25" hidden="1" x14ac:dyDescent="0.3">
      <c r="A42" s="1" t="s">
        <v>75</v>
      </c>
      <c r="B42" s="1" t="s">
        <v>332</v>
      </c>
      <c r="C42" s="1" t="s">
        <v>76</v>
      </c>
      <c r="D42" s="1" t="s">
        <v>322</v>
      </c>
      <c r="E42" s="1" t="s">
        <v>8</v>
      </c>
      <c r="F42" s="1" t="s">
        <v>155</v>
      </c>
      <c r="G42" s="1" t="s">
        <v>168</v>
      </c>
      <c r="H42" s="1"/>
      <c r="I42" s="1" t="s">
        <v>368</v>
      </c>
      <c r="J42" s="1" t="s">
        <v>150</v>
      </c>
      <c r="K42" s="1" t="s">
        <v>155</v>
      </c>
      <c r="L42" s="1" t="s">
        <v>168</v>
      </c>
      <c r="M42">
        <v>100</v>
      </c>
      <c r="N42">
        <v>2</v>
      </c>
      <c r="O42">
        <v>11949</v>
      </c>
      <c r="P42">
        <v>23898</v>
      </c>
      <c r="Q42" s="1" t="s">
        <v>339</v>
      </c>
      <c r="R42" s="2">
        <v>45547</v>
      </c>
      <c r="S42" s="2">
        <v>45564</v>
      </c>
      <c r="T42">
        <v>17</v>
      </c>
      <c r="U42" s="2">
        <v>45567</v>
      </c>
      <c r="V42">
        <v>20</v>
      </c>
      <c r="W42" s="1" t="s">
        <v>199</v>
      </c>
      <c r="X42" s="1" t="s">
        <v>198</v>
      </c>
      <c r="Y42" t="str">
        <f>IF(data[[#This Row],[معاد الانتظار(الفعلي)]]&gt;data[[#This Row],[معاد الانتظار(الهدف)]],"متأخر","في المعاد")</f>
        <v>متأخر</v>
      </c>
    </row>
    <row r="43" spans="1:25" hidden="1" x14ac:dyDescent="0.3">
      <c r="A43" s="1" t="s">
        <v>75</v>
      </c>
      <c r="B43" s="1" t="s">
        <v>332</v>
      </c>
      <c r="C43" s="1" t="s">
        <v>76</v>
      </c>
      <c r="D43" s="1" t="s">
        <v>322</v>
      </c>
      <c r="E43" s="1" t="s">
        <v>8</v>
      </c>
      <c r="F43" s="1" t="s">
        <v>155</v>
      </c>
      <c r="G43" s="1" t="s">
        <v>168</v>
      </c>
      <c r="H43" s="1"/>
      <c r="I43" s="1" t="s">
        <v>368</v>
      </c>
      <c r="J43" s="1" t="s">
        <v>150</v>
      </c>
      <c r="K43" s="1" t="s">
        <v>155</v>
      </c>
      <c r="L43" s="1" t="s">
        <v>168</v>
      </c>
      <c r="M43">
        <v>100</v>
      </c>
      <c r="N43">
        <v>2</v>
      </c>
      <c r="O43">
        <v>11949</v>
      </c>
      <c r="P43">
        <v>23898</v>
      </c>
      <c r="Q43" s="1" t="s">
        <v>339</v>
      </c>
      <c r="R43" s="2">
        <v>45547</v>
      </c>
      <c r="S43" s="2">
        <v>45564</v>
      </c>
      <c r="T43">
        <v>17</v>
      </c>
      <c r="U43" s="2">
        <v>45567</v>
      </c>
      <c r="V43">
        <v>20</v>
      </c>
      <c r="W43" s="1" t="s">
        <v>199</v>
      </c>
      <c r="X43" s="1" t="s">
        <v>198</v>
      </c>
      <c r="Y43" t="str">
        <f>IF(data[[#This Row],[معاد الانتظار(الفعلي)]]&gt;data[[#This Row],[معاد الانتظار(الهدف)]],"متأخر","في المعاد")</f>
        <v>متأخر</v>
      </c>
    </row>
    <row r="44" spans="1:25" hidden="1" x14ac:dyDescent="0.3">
      <c r="A44" s="1" t="s">
        <v>33</v>
      </c>
      <c r="B44" s="1" t="s">
        <v>332</v>
      </c>
      <c r="C44" s="1" t="s">
        <v>88</v>
      </c>
      <c r="D44" s="1" t="s">
        <v>326</v>
      </c>
      <c r="E44" s="1" t="s">
        <v>8</v>
      </c>
      <c r="F44" s="1" t="s">
        <v>155</v>
      </c>
      <c r="G44" s="1" t="s">
        <v>167</v>
      </c>
      <c r="H44" s="1"/>
      <c r="I44" s="1" t="s">
        <v>369</v>
      </c>
      <c r="J44" s="1" t="s">
        <v>150</v>
      </c>
      <c r="K44" s="1" t="s">
        <v>349</v>
      </c>
      <c r="L44" s="1" t="s">
        <v>167</v>
      </c>
      <c r="M44">
        <v>80</v>
      </c>
      <c r="N44">
        <v>3</v>
      </c>
      <c r="O44">
        <v>16599</v>
      </c>
      <c r="P44">
        <v>49797</v>
      </c>
      <c r="Q44" s="1" t="s">
        <v>16</v>
      </c>
      <c r="R44" s="2">
        <v>45548</v>
      </c>
      <c r="S44" s="2">
        <v>45565</v>
      </c>
      <c r="T44">
        <v>17</v>
      </c>
      <c r="U44" s="2">
        <v>45568</v>
      </c>
      <c r="V44">
        <v>20</v>
      </c>
      <c r="W44" s="1" t="s">
        <v>199</v>
      </c>
      <c r="X44" s="1" t="s">
        <v>198</v>
      </c>
      <c r="Y44" t="str">
        <f>IF(data[[#This Row],[معاد الانتظار(الفعلي)]]&gt;data[[#This Row],[معاد الانتظار(الهدف)]],"متأخر","في المعاد")</f>
        <v>متأخر</v>
      </c>
    </row>
    <row r="45" spans="1:25" hidden="1" x14ac:dyDescent="0.3">
      <c r="A45" s="1" t="s">
        <v>89</v>
      </c>
      <c r="B45" s="1" t="s">
        <v>332</v>
      </c>
      <c r="C45" s="1" t="s">
        <v>26</v>
      </c>
      <c r="D45" s="1" t="s">
        <v>325</v>
      </c>
      <c r="E45" s="1" t="s">
        <v>8</v>
      </c>
      <c r="F45" s="1" t="s">
        <v>155</v>
      </c>
      <c r="G45" s="1" t="s">
        <v>167</v>
      </c>
      <c r="H45" s="1"/>
      <c r="I45" s="1" t="s">
        <v>370</v>
      </c>
      <c r="J45" s="1" t="s">
        <v>150</v>
      </c>
      <c r="K45" s="1" t="s">
        <v>155</v>
      </c>
      <c r="L45" s="1" t="s">
        <v>167</v>
      </c>
      <c r="M45">
        <v>80</v>
      </c>
      <c r="N45">
        <v>1</v>
      </c>
      <c r="O45">
        <v>10999</v>
      </c>
      <c r="P45">
        <v>10999</v>
      </c>
      <c r="Q45" s="1" t="s">
        <v>16</v>
      </c>
      <c r="R45" s="2">
        <v>45548</v>
      </c>
      <c r="S45" s="2">
        <v>45565</v>
      </c>
      <c r="T45">
        <v>17</v>
      </c>
      <c r="U45" s="2">
        <v>45581</v>
      </c>
      <c r="V45">
        <v>33</v>
      </c>
      <c r="W45" s="1" t="s">
        <v>28</v>
      </c>
      <c r="X45" s="1" t="s">
        <v>198</v>
      </c>
      <c r="Y45" t="str">
        <f>IF(data[[#This Row],[معاد الانتظار(الفعلي)]]&gt;data[[#This Row],[معاد الانتظار(الهدف)]],"متأخر","في المعاد")</f>
        <v>متأخر</v>
      </c>
    </row>
    <row r="46" spans="1:25" hidden="1" x14ac:dyDescent="0.3">
      <c r="A46" s="1" t="s">
        <v>92</v>
      </c>
      <c r="B46" s="1" t="s">
        <v>332</v>
      </c>
      <c r="C46" s="1" t="s">
        <v>93</v>
      </c>
      <c r="D46" s="1" t="s">
        <v>212</v>
      </c>
      <c r="E46" s="1" t="s">
        <v>8</v>
      </c>
      <c r="F46" s="1" t="s">
        <v>155</v>
      </c>
      <c r="G46" s="1" t="s">
        <v>170</v>
      </c>
      <c r="H46" s="1"/>
      <c r="I46" s="1" t="s">
        <v>371</v>
      </c>
      <c r="J46" s="1" t="s">
        <v>150</v>
      </c>
      <c r="K46" s="1" t="s">
        <v>350</v>
      </c>
      <c r="L46" s="1" t="s">
        <v>170</v>
      </c>
      <c r="M46">
        <v>140</v>
      </c>
      <c r="N46">
        <v>4</v>
      </c>
      <c r="O46">
        <v>13099</v>
      </c>
      <c r="P46">
        <v>52396</v>
      </c>
      <c r="Q46" s="1" t="s">
        <v>16</v>
      </c>
      <c r="R46" s="2">
        <v>45548</v>
      </c>
      <c r="S46" s="2">
        <v>45565</v>
      </c>
      <c r="T46">
        <v>17</v>
      </c>
      <c r="U46" s="2">
        <v>45568</v>
      </c>
      <c r="V46">
        <v>20</v>
      </c>
      <c r="W46" s="1" t="s">
        <v>28</v>
      </c>
      <c r="X46" s="1" t="s">
        <v>198</v>
      </c>
      <c r="Y46" t="str">
        <f>IF(data[[#This Row],[معاد الانتظار(الفعلي)]]&gt;data[[#This Row],[معاد الانتظار(الهدف)]],"متأخر","في المعاد")</f>
        <v>متأخر</v>
      </c>
    </row>
    <row r="47" spans="1:25" hidden="1" x14ac:dyDescent="0.3">
      <c r="A47" s="1" t="s">
        <v>97</v>
      </c>
      <c r="B47" s="1" t="s">
        <v>332</v>
      </c>
      <c r="C47" s="1" t="s">
        <v>39</v>
      </c>
      <c r="D47" s="1" t="s">
        <v>322</v>
      </c>
      <c r="E47" s="1" t="s">
        <v>8</v>
      </c>
      <c r="F47" s="1" t="s">
        <v>154</v>
      </c>
      <c r="G47" s="1" t="s">
        <v>173</v>
      </c>
      <c r="H47" s="1"/>
      <c r="I47" s="1" t="s">
        <v>372</v>
      </c>
      <c r="J47" s="1" t="s">
        <v>150</v>
      </c>
      <c r="K47" s="1" t="s">
        <v>154</v>
      </c>
      <c r="L47" s="1"/>
      <c r="M47">
        <v>120</v>
      </c>
      <c r="N47">
        <v>2</v>
      </c>
      <c r="O47">
        <v>13849</v>
      </c>
      <c r="P47">
        <v>27698</v>
      </c>
      <c r="Q47" s="1" t="s">
        <v>16</v>
      </c>
      <c r="R47" s="2">
        <v>45548</v>
      </c>
      <c r="S47" s="2">
        <v>45565</v>
      </c>
      <c r="T47">
        <v>17</v>
      </c>
      <c r="U47" s="2">
        <v>45585</v>
      </c>
      <c r="V47">
        <v>37</v>
      </c>
      <c r="W47" s="1" t="s">
        <v>199</v>
      </c>
      <c r="X47" s="1" t="s">
        <v>198</v>
      </c>
      <c r="Y47" t="str">
        <f>IF(data[[#This Row],[معاد الانتظار(الفعلي)]]&gt;data[[#This Row],[معاد الانتظار(الهدف)]],"متأخر","في المعاد")</f>
        <v>متأخر</v>
      </c>
    </row>
    <row r="48" spans="1:25" hidden="1" x14ac:dyDescent="0.3">
      <c r="A48" s="1" t="s">
        <v>101</v>
      </c>
      <c r="B48" s="1" t="s">
        <v>332</v>
      </c>
      <c r="C48" s="1" t="s">
        <v>102</v>
      </c>
      <c r="D48" s="1" t="s">
        <v>326</v>
      </c>
      <c r="E48" s="1" t="s">
        <v>8</v>
      </c>
      <c r="F48" s="1"/>
      <c r="G48" s="1" t="s">
        <v>168</v>
      </c>
      <c r="H48" s="1" t="s">
        <v>172</v>
      </c>
      <c r="I48" s="1" t="s">
        <v>373</v>
      </c>
      <c r="J48" s="1" t="s">
        <v>150</v>
      </c>
      <c r="K48" s="1" t="s">
        <v>342</v>
      </c>
      <c r="L48" s="1" t="s">
        <v>168</v>
      </c>
      <c r="N48">
        <v>4</v>
      </c>
      <c r="O48">
        <v>21999</v>
      </c>
      <c r="P48">
        <v>87996</v>
      </c>
      <c r="Q48" s="1" t="s">
        <v>16</v>
      </c>
      <c r="R48" s="2">
        <v>45548</v>
      </c>
      <c r="S48" s="2">
        <v>45565</v>
      </c>
      <c r="T48">
        <v>17</v>
      </c>
      <c r="U48" s="2"/>
      <c r="V48">
        <v>0</v>
      </c>
      <c r="W48" s="1" t="s">
        <v>199</v>
      </c>
      <c r="X48" s="1" t="s">
        <v>198</v>
      </c>
      <c r="Y48" t="str">
        <f>IF(data[[#This Row],[معاد الانتظار(الفعلي)]]&gt;data[[#This Row],[معاد الانتظار(الهدف)]],"متأخر","في المعاد")</f>
        <v>في المعاد</v>
      </c>
    </row>
    <row r="49" spans="1:25" hidden="1" x14ac:dyDescent="0.3">
      <c r="A49" s="1" t="s">
        <v>108</v>
      </c>
      <c r="B49" s="1" t="s">
        <v>332</v>
      </c>
      <c r="C49" s="1" t="s">
        <v>39</v>
      </c>
      <c r="D49" s="1" t="s">
        <v>322</v>
      </c>
      <c r="E49" s="1" t="s">
        <v>8</v>
      </c>
      <c r="F49" s="1" t="s">
        <v>155</v>
      </c>
      <c r="G49" s="1" t="s">
        <v>167</v>
      </c>
      <c r="H49" s="1"/>
      <c r="I49" s="1" t="s">
        <v>370</v>
      </c>
      <c r="J49" s="1" t="s">
        <v>150</v>
      </c>
      <c r="K49" s="1" t="s">
        <v>155</v>
      </c>
      <c r="L49" s="1" t="s">
        <v>167</v>
      </c>
      <c r="M49">
        <v>80</v>
      </c>
      <c r="N49">
        <v>1</v>
      </c>
      <c r="O49">
        <v>10999</v>
      </c>
      <c r="P49">
        <v>10999</v>
      </c>
      <c r="Q49" s="1" t="s">
        <v>16</v>
      </c>
      <c r="R49" s="2">
        <v>45548</v>
      </c>
      <c r="S49" s="2">
        <v>45565</v>
      </c>
      <c r="T49">
        <v>17</v>
      </c>
      <c r="U49" s="2">
        <v>45580</v>
      </c>
      <c r="V49">
        <v>32</v>
      </c>
      <c r="W49" s="1" t="s">
        <v>199</v>
      </c>
      <c r="X49" s="1" t="s">
        <v>198</v>
      </c>
      <c r="Y49" t="str">
        <f>IF(data[[#This Row],[معاد الانتظار(الفعلي)]]&gt;data[[#This Row],[معاد الانتظار(الهدف)]],"متأخر","في المعاد")</f>
        <v>متأخر</v>
      </c>
    </row>
    <row r="50" spans="1:25" hidden="1" x14ac:dyDescent="0.3">
      <c r="A50" s="1" t="s">
        <v>110</v>
      </c>
      <c r="B50" s="1" t="s">
        <v>332</v>
      </c>
      <c r="C50" s="1" t="s">
        <v>107</v>
      </c>
      <c r="D50" s="1" t="s">
        <v>326</v>
      </c>
      <c r="E50" s="1" t="s">
        <v>8</v>
      </c>
      <c r="F50" s="1" t="s">
        <v>155</v>
      </c>
      <c r="G50" s="1" t="s">
        <v>168</v>
      </c>
      <c r="H50" s="1"/>
      <c r="I50" s="1" t="s">
        <v>374</v>
      </c>
      <c r="J50" s="1" t="s">
        <v>150</v>
      </c>
      <c r="K50" s="1" t="s">
        <v>349</v>
      </c>
      <c r="L50" s="1" t="s">
        <v>168</v>
      </c>
      <c r="M50">
        <v>90</v>
      </c>
      <c r="N50">
        <v>3</v>
      </c>
      <c r="O50">
        <v>17249</v>
      </c>
      <c r="P50">
        <v>51747</v>
      </c>
      <c r="Q50" s="1" t="s">
        <v>16</v>
      </c>
      <c r="R50" s="2">
        <v>45548</v>
      </c>
      <c r="S50" s="2">
        <v>45565</v>
      </c>
      <c r="T50">
        <v>17</v>
      </c>
      <c r="U50" s="2">
        <v>45569</v>
      </c>
      <c r="V50">
        <v>21</v>
      </c>
      <c r="W50" s="1" t="s">
        <v>199</v>
      </c>
      <c r="X50" s="1" t="s">
        <v>198</v>
      </c>
      <c r="Y50" t="str">
        <f>IF(data[[#This Row],[معاد الانتظار(الفعلي)]]&gt;data[[#This Row],[معاد الانتظار(الهدف)]],"متأخر","في المعاد")</f>
        <v>متأخر</v>
      </c>
    </row>
    <row r="51" spans="1:25" hidden="1" x14ac:dyDescent="0.3">
      <c r="A51" s="1" t="s">
        <v>138</v>
      </c>
      <c r="B51" s="1" t="s">
        <v>332</v>
      </c>
      <c r="C51" s="1" t="s">
        <v>139</v>
      </c>
      <c r="D51" s="1" t="s">
        <v>322</v>
      </c>
      <c r="E51" s="1" t="s">
        <v>8</v>
      </c>
      <c r="F51" s="1"/>
      <c r="G51" s="1"/>
      <c r="H51" s="1"/>
      <c r="I51" s="1" t="s">
        <v>388</v>
      </c>
      <c r="J51" s="1" t="s">
        <v>389</v>
      </c>
      <c r="K51" s="1" t="s">
        <v>341</v>
      </c>
      <c r="L51" s="1"/>
      <c r="N51">
        <v>2</v>
      </c>
      <c r="O51">
        <v>8349</v>
      </c>
      <c r="P51">
        <v>16698</v>
      </c>
      <c r="Q51" s="1" t="s">
        <v>16</v>
      </c>
      <c r="R51" s="2">
        <v>45549</v>
      </c>
      <c r="S51" s="2">
        <v>45581</v>
      </c>
      <c r="T51">
        <v>32</v>
      </c>
      <c r="U51" s="2">
        <v>45586</v>
      </c>
      <c r="V51">
        <v>37</v>
      </c>
      <c r="W51" s="1" t="s">
        <v>199</v>
      </c>
      <c r="X51" s="1" t="s">
        <v>198</v>
      </c>
      <c r="Y51" t="str">
        <f>IF(data[[#This Row],[معاد الانتظار(الفعلي)]]&gt;data[[#This Row],[معاد الانتظار(الهدف)]],"متأخر","في المعاد")</f>
        <v>متأخر</v>
      </c>
    </row>
    <row r="52" spans="1:25" hidden="1" x14ac:dyDescent="0.3">
      <c r="A52" s="1" t="s">
        <v>118</v>
      </c>
      <c r="B52" s="1" t="s">
        <v>332</v>
      </c>
      <c r="C52" s="1" t="s">
        <v>62</v>
      </c>
      <c r="D52" s="1" t="s">
        <v>326</v>
      </c>
      <c r="E52" s="1" t="s">
        <v>8</v>
      </c>
      <c r="F52" s="1"/>
      <c r="G52" s="1"/>
      <c r="H52" s="1"/>
      <c r="I52" s="1" t="s">
        <v>27</v>
      </c>
      <c r="J52" s="1" t="s">
        <v>389</v>
      </c>
      <c r="K52" s="1" t="s">
        <v>341</v>
      </c>
      <c r="L52" s="1"/>
      <c r="N52">
        <v>1</v>
      </c>
      <c r="O52">
        <v>7849</v>
      </c>
      <c r="P52">
        <v>7849</v>
      </c>
      <c r="Q52" s="1" t="s">
        <v>16</v>
      </c>
      <c r="R52" s="2">
        <v>45549</v>
      </c>
      <c r="S52" s="2">
        <v>45594</v>
      </c>
      <c r="T52">
        <v>45</v>
      </c>
      <c r="U52" s="2">
        <v>45595</v>
      </c>
      <c r="V52">
        <v>46</v>
      </c>
      <c r="W52" s="1" t="s">
        <v>199</v>
      </c>
      <c r="X52" s="1" t="s">
        <v>198</v>
      </c>
      <c r="Y52" t="str">
        <f>IF(data[[#This Row],[معاد الانتظار(الفعلي)]]&gt;data[[#This Row],[معاد الانتظار(الهدف)]],"متأخر","في المعاد")</f>
        <v>متأخر</v>
      </c>
    </row>
    <row r="53" spans="1:25" hidden="1" x14ac:dyDescent="0.3">
      <c r="A53" s="1" t="s">
        <v>119</v>
      </c>
      <c r="B53" s="1" t="s">
        <v>332</v>
      </c>
      <c r="C53" s="1" t="s">
        <v>39</v>
      </c>
      <c r="D53" s="1" t="s">
        <v>322</v>
      </c>
      <c r="E53" s="1" t="s">
        <v>8</v>
      </c>
      <c r="F53" s="1"/>
      <c r="G53" s="1" t="s">
        <v>168</v>
      </c>
      <c r="H53" s="1" t="s">
        <v>168</v>
      </c>
      <c r="I53" s="1" t="s">
        <v>120</v>
      </c>
      <c r="J53" s="1" t="s">
        <v>150</v>
      </c>
      <c r="K53" s="1" t="s">
        <v>151</v>
      </c>
      <c r="L53" s="1" t="s">
        <v>168</v>
      </c>
      <c r="N53">
        <v>1</v>
      </c>
      <c r="O53">
        <v>9399</v>
      </c>
      <c r="P53">
        <v>9399</v>
      </c>
      <c r="Q53" s="1" t="s">
        <v>16</v>
      </c>
      <c r="R53" s="2">
        <v>45549</v>
      </c>
      <c r="S53" s="2">
        <v>45594</v>
      </c>
      <c r="T53">
        <v>45</v>
      </c>
      <c r="U53" s="2">
        <v>45580</v>
      </c>
      <c r="V53">
        <v>31</v>
      </c>
      <c r="W53" s="1" t="s">
        <v>199</v>
      </c>
      <c r="X53" s="1" t="s">
        <v>198</v>
      </c>
      <c r="Y53" t="str">
        <f>IF(data[[#This Row],[معاد الانتظار(الفعلي)]]&gt;data[[#This Row],[معاد الانتظار(الهدف)]],"متأخر","في المعاد")</f>
        <v>في المعاد</v>
      </c>
    </row>
    <row r="54" spans="1:25" hidden="1" x14ac:dyDescent="0.3">
      <c r="A54" s="1" t="s">
        <v>121</v>
      </c>
      <c r="B54" s="1" t="s">
        <v>332</v>
      </c>
      <c r="C54" s="1" t="s">
        <v>122</v>
      </c>
      <c r="D54" s="1" t="s">
        <v>322</v>
      </c>
      <c r="E54" s="1" t="s">
        <v>8</v>
      </c>
      <c r="F54" s="1" t="s">
        <v>156</v>
      </c>
      <c r="G54" s="1" t="s">
        <v>168</v>
      </c>
      <c r="H54" s="1"/>
      <c r="I54" s="1" t="s">
        <v>375</v>
      </c>
      <c r="J54" s="1" t="s">
        <v>150</v>
      </c>
      <c r="K54" s="1" t="s">
        <v>156</v>
      </c>
      <c r="L54" s="1" t="s">
        <v>168</v>
      </c>
      <c r="M54">
        <v>140</v>
      </c>
      <c r="N54">
        <v>4</v>
      </c>
      <c r="O54">
        <v>11817</v>
      </c>
      <c r="P54">
        <v>47268</v>
      </c>
      <c r="Q54" s="1" t="s">
        <v>16</v>
      </c>
      <c r="R54" s="2">
        <v>45549</v>
      </c>
      <c r="S54" s="2">
        <v>45594</v>
      </c>
      <c r="T54">
        <v>45</v>
      </c>
      <c r="U54" s="2">
        <v>45580</v>
      </c>
      <c r="V54">
        <v>31</v>
      </c>
      <c r="W54" s="1" t="s">
        <v>199</v>
      </c>
      <c r="X54" s="1" t="s">
        <v>198</v>
      </c>
      <c r="Y54" t="str">
        <f>IF(data[[#This Row],[معاد الانتظار(الفعلي)]]&gt;data[[#This Row],[معاد الانتظار(الهدف)]],"متأخر","في المعاد")</f>
        <v>في المعاد</v>
      </c>
    </row>
    <row r="55" spans="1:25" hidden="1" x14ac:dyDescent="0.3">
      <c r="A55" s="1" t="s">
        <v>124</v>
      </c>
      <c r="B55" s="1" t="s">
        <v>332</v>
      </c>
      <c r="C55" s="1" t="s">
        <v>88</v>
      </c>
      <c r="D55" s="1" t="s">
        <v>326</v>
      </c>
      <c r="E55" s="1" t="s">
        <v>8</v>
      </c>
      <c r="F55" s="1"/>
      <c r="G55" s="1"/>
      <c r="H55" s="1"/>
      <c r="I55" s="1" t="s">
        <v>387</v>
      </c>
      <c r="J55" s="1" t="s">
        <v>389</v>
      </c>
      <c r="K55" s="1" t="s">
        <v>341</v>
      </c>
      <c r="L55" s="1"/>
      <c r="N55">
        <v>1</v>
      </c>
      <c r="O55">
        <v>8349</v>
      </c>
      <c r="P55">
        <v>8349</v>
      </c>
      <c r="Q55" s="1" t="s">
        <v>16</v>
      </c>
      <c r="R55" s="2">
        <v>45549</v>
      </c>
      <c r="S55" s="2">
        <v>45594</v>
      </c>
      <c r="T55">
        <v>45</v>
      </c>
      <c r="U55" s="2">
        <v>45584</v>
      </c>
      <c r="V55">
        <v>35</v>
      </c>
      <c r="W55" s="1" t="s">
        <v>199</v>
      </c>
      <c r="X55" s="1" t="s">
        <v>198</v>
      </c>
      <c r="Y55" t="str">
        <f>IF(data[[#This Row],[معاد الانتظار(الفعلي)]]&gt;data[[#This Row],[معاد الانتظار(الهدف)]],"متأخر","في المعاد")</f>
        <v>في المعاد</v>
      </c>
    </row>
    <row r="56" spans="1:25" hidden="1" x14ac:dyDescent="0.3">
      <c r="A56" s="1" t="s">
        <v>128</v>
      </c>
      <c r="B56" s="1" t="s">
        <v>332</v>
      </c>
      <c r="C56" s="1" t="s">
        <v>129</v>
      </c>
      <c r="D56" s="1" t="s">
        <v>326</v>
      </c>
      <c r="E56" s="1" t="s">
        <v>8</v>
      </c>
      <c r="F56" s="1" t="s">
        <v>177</v>
      </c>
      <c r="G56" s="1" t="s">
        <v>167</v>
      </c>
      <c r="H56" s="1"/>
      <c r="I56" s="1" t="s">
        <v>376</v>
      </c>
      <c r="J56" s="1" t="s">
        <v>150</v>
      </c>
      <c r="K56" s="1" t="s">
        <v>177</v>
      </c>
      <c r="L56" s="1" t="s">
        <v>167</v>
      </c>
      <c r="M56">
        <v>120</v>
      </c>
      <c r="N56">
        <v>2</v>
      </c>
      <c r="O56">
        <v>17886</v>
      </c>
      <c r="P56">
        <v>35772</v>
      </c>
      <c r="Q56" s="1" t="s">
        <v>16</v>
      </c>
      <c r="R56" s="2">
        <v>45549</v>
      </c>
      <c r="S56" s="2">
        <v>45594</v>
      </c>
      <c r="T56">
        <v>45</v>
      </c>
      <c r="U56" s="2"/>
      <c r="V56">
        <v>0</v>
      </c>
      <c r="W56" s="1"/>
      <c r="X56" s="1" t="s">
        <v>192</v>
      </c>
      <c r="Y56" t="str">
        <f>IF(data[[#This Row],[معاد الانتظار(الفعلي)]]&gt;data[[#This Row],[معاد الانتظار(الهدف)]],"متأخر","في المعاد")</f>
        <v>في المعاد</v>
      </c>
    </row>
    <row r="57" spans="1:25" hidden="1" x14ac:dyDescent="0.3">
      <c r="A57" s="1" t="s">
        <v>128</v>
      </c>
      <c r="B57" s="1" t="s">
        <v>332</v>
      </c>
      <c r="C57" s="1" t="s">
        <v>129</v>
      </c>
      <c r="D57" s="1" t="s">
        <v>326</v>
      </c>
      <c r="E57" s="1" t="s">
        <v>8</v>
      </c>
      <c r="F57" s="1" t="s">
        <v>177</v>
      </c>
      <c r="G57" s="1" t="s">
        <v>167</v>
      </c>
      <c r="H57" s="1"/>
      <c r="I57" s="1" t="s">
        <v>376</v>
      </c>
      <c r="J57" s="1" t="s">
        <v>150</v>
      </c>
      <c r="K57" s="1" t="s">
        <v>177</v>
      </c>
      <c r="L57" s="1" t="s">
        <v>167</v>
      </c>
      <c r="M57">
        <v>120</v>
      </c>
      <c r="N57">
        <v>2</v>
      </c>
      <c r="O57">
        <v>17886</v>
      </c>
      <c r="P57">
        <v>35772</v>
      </c>
      <c r="Q57" s="1" t="s">
        <v>16</v>
      </c>
      <c r="R57" s="2">
        <v>45549</v>
      </c>
      <c r="S57" s="2">
        <v>45594</v>
      </c>
      <c r="T57">
        <v>45</v>
      </c>
      <c r="U57" s="2"/>
      <c r="V57">
        <v>0</v>
      </c>
      <c r="W57" s="1"/>
      <c r="X57" s="1" t="s">
        <v>192</v>
      </c>
      <c r="Y57" t="str">
        <f>IF(data[[#This Row],[معاد الانتظار(الفعلي)]]&gt;data[[#This Row],[معاد الانتظار(الهدف)]],"متأخر","في المعاد")</f>
        <v>في المعاد</v>
      </c>
    </row>
    <row r="58" spans="1:25" hidden="1" x14ac:dyDescent="0.3">
      <c r="A58" s="1" t="s">
        <v>131</v>
      </c>
      <c r="B58" s="1" t="s">
        <v>332</v>
      </c>
      <c r="C58" s="1" t="s">
        <v>67</v>
      </c>
      <c r="D58" s="1" t="s">
        <v>326</v>
      </c>
      <c r="E58" s="1" t="s">
        <v>8</v>
      </c>
      <c r="F58" s="1" t="s">
        <v>156</v>
      </c>
      <c r="G58" s="1" t="s">
        <v>167</v>
      </c>
      <c r="H58" s="1"/>
      <c r="I58" s="1" t="s">
        <v>377</v>
      </c>
      <c r="J58" s="1" t="s">
        <v>150</v>
      </c>
      <c r="K58" s="1" t="s">
        <v>156</v>
      </c>
      <c r="L58" s="1" t="s">
        <v>167</v>
      </c>
      <c r="M58">
        <v>120</v>
      </c>
      <c r="N58">
        <v>2</v>
      </c>
      <c r="O58">
        <v>10987</v>
      </c>
      <c r="P58">
        <v>21974</v>
      </c>
      <c r="Q58" s="1" t="s">
        <v>16</v>
      </c>
      <c r="R58" s="2">
        <v>45549</v>
      </c>
      <c r="S58" s="2">
        <v>45594</v>
      </c>
      <c r="T58">
        <v>45</v>
      </c>
      <c r="U58" s="2">
        <v>45578</v>
      </c>
      <c r="V58">
        <v>29</v>
      </c>
      <c r="W58" s="1" t="s">
        <v>199</v>
      </c>
      <c r="X58" s="1" t="s">
        <v>198</v>
      </c>
      <c r="Y58" t="str">
        <f>IF(data[[#This Row],[معاد الانتظار(الفعلي)]]&gt;data[[#This Row],[معاد الانتظار(الهدف)]],"متأخر","في المعاد")</f>
        <v>في المعاد</v>
      </c>
    </row>
    <row r="59" spans="1:25" hidden="1" x14ac:dyDescent="0.3">
      <c r="A59" s="1" t="s">
        <v>131</v>
      </c>
      <c r="B59" s="1" t="s">
        <v>332</v>
      </c>
      <c r="C59" s="1" t="s">
        <v>67</v>
      </c>
      <c r="D59" s="1" t="s">
        <v>326</v>
      </c>
      <c r="E59" s="1" t="s">
        <v>8</v>
      </c>
      <c r="F59" s="1" t="s">
        <v>156</v>
      </c>
      <c r="G59" s="1" t="s">
        <v>167</v>
      </c>
      <c r="H59" s="1"/>
      <c r="I59" s="1" t="s">
        <v>377</v>
      </c>
      <c r="J59" s="1" t="s">
        <v>150</v>
      </c>
      <c r="K59" s="1" t="s">
        <v>156</v>
      </c>
      <c r="L59" s="1" t="s">
        <v>167</v>
      </c>
      <c r="M59">
        <v>120</v>
      </c>
      <c r="N59">
        <v>2</v>
      </c>
      <c r="O59">
        <v>10987</v>
      </c>
      <c r="P59">
        <v>21974</v>
      </c>
      <c r="Q59" s="1" t="s">
        <v>16</v>
      </c>
      <c r="R59" s="2">
        <v>45549</v>
      </c>
      <c r="S59" s="2">
        <v>45594</v>
      </c>
      <c r="T59">
        <v>45</v>
      </c>
      <c r="U59" s="2">
        <v>45578</v>
      </c>
      <c r="V59">
        <v>29</v>
      </c>
      <c r="W59" s="1" t="s">
        <v>199</v>
      </c>
      <c r="X59" s="1" t="s">
        <v>198</v>
      </c>
      <c r="Y59" t="str">
        <f>IF(data[[#This Row],[معاد الانتظار(الفعلي)]]&gt;data[[#This Row],[معاد الانتظار(الهدف)]],"متأخر","في المعاد")</f>
        <v>في المعاد</v>
      </c>
    </row>
    <row r="60" spans="1:25" hidden="1" x14ac:dyDescent="0.3">
      <c r="A60" s="1" t="s">
        <v>134</v>
      </c>
      <c r="B60" s="1" t="s">
        <v>332</v>
      </c>
      <c r="C60" s="1" t="s">
        <v>135</v>
      </c>
      <c r="D60" s="1" t="s">
        <v>327</v>
      </c>
      <c r="E60" s="1" t="s">
        <v>8</v>
      </c>
      <c r="F60" s="1"/>
      <c r="G60" s="1"/>
      <c r="H60" s="1"/>
      <c r="I60" s="1" t="s">
        <v>63</v>
      </c>
      <c r="J60" s="1" t="s">
        <v>389</v>
      </c>
      <c r="K60" s="1" t="s">
        <v>341</v>
      </c>
      <c r="L60" s="1"/>
      <c r="N60">
        <v>1</v>
      </c>
      <c r="O60">
        <v>10319</v>
      </c>
      <c r="P60">
        <v>10319</v>
      </c>
      <c r="Q60" s="1" t="s">
        <v>16</v>
      </c>
      <c r="R60" s="2">
        <v>45549</v>
      </c>
      <c r="S60" s="2">
        <v>45594</v>
      </c>
      <c r="T60">
        <v>45</v>
      </c>
      <c r="U60" s="2">
        <v>45584</v>
      </c>
      <c r="V60">
        <v>35</v>
      </c>
      <c r="W60" s="1" t="s">
        <v>199</v>
      </c>
      <c r="X60" s="1" t="s">
        <v>198</v>
      </c>
      <c r="Y60" t="str">
        <f>IF(data[[#This Row],[معاد الانتظار(الفعلي)]]&gt;data[[#This Row],[معاد الانتظار(الهدف)]],"متأخر","في المعاد")</f>
        <v>في المعاد</v>
      </c>
    </row>
    <row r="61" spans="1:25" hidden="1" x14ac:dyDescent="0.3">
      <c r="A61" s="1" t="s">
        <v>112</v>
      </c>
      <c r="B61" s="1" t="s">
        <v>332</v>
      </c>
      <c r="C61" s="1" t="s">
        <v>113</v>
      </c>
      <c r="D61" s="1" t="s">
        <v>329</v>
      </c>
      <c r="E61" s="1" t="s">
        <v>8</v>
      </c>
      <c r="F61" s="1" t="s">
        <v>155</v>
      </c>
      <c r="G61" s="1" t="s">
        <v>172</v>
      </c>
      <c r="H61" s="1"/>
      <c r="I61" s="1" t="s">
        <v>378</v>
      </c>
      <c r="J61" s="1" t="s">
        <v>150</v>
      </c>
      <c r="K61" s="1" t="s">
        <v>155</v>
      </c>
      <c r="L61" s="1" t="s">
        <v>172</v>
      </c>
      <c r="M61">
        <v>120</v>
      </c>
      <c r="N61">
        <v>2</v>
      </c>
      <c r="O61">
        <v>12999</v>
      </c>
      <c r="P61">
        <v>25998</v>
      </c>
      <c r="Q61" s="1" t="s">
        <v>16</v>
      </c>
      <c r="R61" s="2">
        <v>45549</v>
      </c>
      <c r="S61" s="2">
        <v>45616</v>
      </c>
      <c r="T61">
        <v>67</v>
      </c>
      <c r="U61" s="2">
        <v>45582</v>
      </c>
      <c r="V61">
        <v>33</v>
      </c>
      <c r="W61" s="1" t="s">
        <v>28</v>
      </c>
      <c r="X61" s="1" t="s">
        <v>198</v>
      </c>
      <c r="Y61" t="str">
        <f>IF(data[[#This Row],[معاد الانتظار(الفعلي)]]&gt;data[[#This Row],[معاد الانتظار(الهدف)]],"متأخر","في المعاد")</f>
        <v>في المعاد</v>
      </c>
    </row>
    <row r="62" spans="1:25" hidden="1" x14ac:dyDescent="0.3">
      <c r="A62" s="1" t="s">
        <v>116</v>
      </c>
      <c r="B62" s="1" t="s">
        <v>332</v>
      </c>
      <c r="C62" s="1" t="s">
        <v>117</v>
      </c>
      <c r="D62" s="1" t="s">
        <v>325</v>
      </c>
      <c r="E62" s="1" t="s">
        <v>8</v>
      </c>
      <c r="F62" s="1"/>
      <c r="G62" s="1" t="s">
        <v>168</v>
      </c>
      <c r="H62" s="1" t="s">
        <v>172</v>
      </c>
      <c r="I62" s="1" t="s">
        <v>373</v>
      </c>
      <c r="J62" s="1" t="s">
        <v>150</v>
      </c>
      <c r="K62" s="1" t="s">
        <v>342</v>
      </c>
      <c r="L62" s="1" t="s">
        <v>168</v>
      </c>
      <c r="N62">
        <v>4</v>
      </c>
      <c r="O62">
        <v>21999</v>
      </c>
      <c r="P62">
        <v>87996</v>
      </c>
      <c r="Q62" s="1" t="s">
        <v>16</v>
      </c>
      <c r="R62" s="2">
        <v>45549</v>
      </c>
      <c r="S62" s="2">
        <v>45616</v>
      </c>
      <c r="T62">
        <v>67</v>
      </c>
      <c r="U62" s="2"/>
      <c r="V62">
        <v>0</v>
      </c>
      <c r="W62" s="1"/>
      <c r="X62" s="1" t="s">
        <v>192</v>
      </c>
      <c r="Y62" t="str">
        <f>IF(data[[#This Row],[معاد الانتظار(الفعلي)]]&gt;data[[#This Row],[معاد الانتظار(الهدف)]],"متأخر","في المعاد")</f>
        <v>في المعاد</v>
      </c>
    </row>
    <row r="63" spans="1:25" hidden="1" x14ac:dyDescent="0.3">
      <c r="A63" s="1" t="s">
        <v>126</v>
      </c>
      <c r="B63" s="1" t="s">
        <v>332</v>
      </c>
      <c r="C63" s="1" t="s">
        <v>88</v>
      </c>
      <c r="D63" s="1" t="s">
        <v>326</v>
      </c>
      <c r="E63" s="1" t="s">
        <v>8</v>
      </c>
      <c r="F63" s="1" t="s">
        <v>152</v>
      </c>
      <c r="G63" s="1" t="s">
        <v>172</v>
      </c>
      <c r="H63" s="1"/>
      <c r="I63" s="1" t="s">
        <v>379</v>
      </c>
      <c r="J63" s="1" t="s">
        <v>150</v>
      </c>
      <c r="K63" s="1" t="s">
        <v>152</v>
      </c>
      <c r="L63" s="1" t="s">
        <v>172</v>
      </c>
      <c r="M63">
        <v>100</v>
      </c>
      <c r="N63">
        <v>1</v>
      </c>
      <c r="O63">
        <v>12399</v>
      </c>
      <c r="P63">
        <v>12399</v>
      </c>
      <c r="Q63" s="1" t="s">
        <v>16</v>
      </c>
      <c r="R63" s="2">
        <v>45549</v>
      </c>
      <c r="S63" s="2">
        <v>45616</v>
      </c>
      <c r="T63">
        <v>67</v>
      </c>
      <c r="U63" s="2">
        <v>45566</v>
      </c>
      <c r="V63">
        <v>17</v>
      </c>
      <c r="W63" s="1" t="s">
        <v>28</v>
      </c>
      <c r="X63" s="1" t="s">
        <v>198</v>
      </c>
      <c r="Y63" t="str">
        <f>IF(data[[#This Row],[معاد الانتظار(الفعلي)]]&gt;data[[#This Row],[معاد الانتظار(الهدف)]],"متأخر","في المعاد")</f>
        <v>في المعاد</v>
      </c>
    </row>
    <row r="64" spans="1:25" hidden="1" x14ac:dyDescent="0.3">
      <c r="A64" s="1" t="s">
        <v>133</v>
      </c>
      <c r="B64" s="1" t="s">
        <v>332</v>
      </c>
      <c r="C64" s="1" t="s">
        <v>67</v>
      </c>
      <c r="D64" s="1" t="s">
        <v>326</v>
      </c>
      <c r="E64" s="1" t="s">
        <v>8</v>
      </c>
      <c r="F64" s="1"/>
      <c r="G64" s="1" t="s">
        <v>168</v>
      </c>
      <c r="H64" s="1" t="s">
        <v>172</v>
      </c>
      <c r="I64" s="1" t="s">
        <v>373</v>
      </c>
      <c r="J64" s="1" t="s">
        <v>150</v>
      </c>
      <c r="K64" s="1" t="s">
        <v>342</v>
      </c>
      <c r="L64" s="1" t="s">
        <v>168</v>
      </c>
      <c r="N64">
        <v>4</v>
      </c>
      <c r="O64">
        <v>21999</v>
      </c>
      <c r="P64">
        <v>87996</v>
      </c>
      <c r="Q64" s="1" t="s">
        <v>16</v>
      </c>
      <c r="R64" s="2">
        <v>45549</v>
      </c>
      <c r="S64" s="2">
        <v>45616</v>
      </c>
      <c r="T64">
        <v>67</v>
      </c>
      <c r="U64" s="2">
        <v>45574</v>
      </c>
      <c r="V64">
        <v>25</v>
      </c>
      <c r="W64" s="1" t="s">
        <v>199</v>
      </c>
      <c r="X64" s="1" t="s">
        <v>198</v>
      </c>
      <c r="Y64" t="str">
        <f>IF(data[[#This Row],[معاد الانتظار(الفعلي)]]&gt;data[[#This Row],[معاد الانتظار(الهدف)]],"متأخر","في المعاد")</f>
        <v>في المعاد</v>
      </c>
    </row>
    <row r="65" spans="1:25" hidden="1" x14ac:dyDescent="0.3">
      <c r="A65" s="1" t="s">
        <v>136</v>
      </c>
      <c r="B65" s="1" t="s">
        <v>332</v>
      </c>
      <c r="C65" s="1" t="s">
        <v>62</v>
      </c>
      <c r="D65" s="1" t="s">
        <v>326</v>
      </c>
      <c r="E65" s="1" t="s">
        <v>8</v>
      </c>
      <c r="F65" s="1" t="s">
        <v>152</v>
      </c>
      <c r="G65" s="1" t="s">
        <v>167</v>
      </c>
      <c r="H65" s="1"/>
      <c r="I65" s="1" t="s">
        <v>380</v>
      </c>
      <c r="J65" s="1" t="s">
        <v>150</v>
      </c>
      <c r="K65" s="1" t="s">
        <v>152</v>
      </c>
      <c r="L65" s="1" t="s">
        <v>167</v>
      </c>
      <c r="M65">
        <v>80</v>
      </c>
      <c r="N65">
        <v>1</v>
      </c>
      <c r="O65">
        <v>10999</v>
      </c>
      <c r="P65">
        <v>10999</v>
      </c>
      <c r="Q65" s="1" t="s">
        <v>16</v>
      </c>
      <c r="R65" s="2">
        <v>45549</v>
      </c>
      <c r="S65" s="2">
        <v>45616</v>
      </c>
      <c r="T65">
        <v>67</v>
      </c>
      <c r="U65" s="2">
        <v>45581</v>
      </c>
      <c r="V65">
        <v>32</v>
      </c>
      <c r="W65" s="1" t="s">
        <v>199</v>
      </c>
      <c r="X65" s="1" t="s">
        <v>198</v>
      </c>
      <c r="Y65" t="str">
        <f>IF(data[[#This Row],[معاد الانتظار(الفعلي)]]&gt;data[[#This Row],[معاد الانتظار(الهدف)]],"متأخر","في المعاد")</f>
        <v>في المعاد</v>
      </c>
    </row>
    <row r="66" spans="1:25" hidden="1" x14ac:dyDescent="0.3">
      <c r="A66" s="1" t="s">
        <v>183</v>
      </c>
      <c r="B66" s="1" t="s">
        <v>332</v>
      </c>
      <c r="C66" s="1" t="s">
        <v>184</v>
      </c>
      <c r="D66" s="1" t="s">
        <v>326</v>
      </c>
      <c r="E66" s="1" t="s">
        <v>8</v>
      </c>
      <c r="F66" s="1" t="s">
        <v>155</v>
      </c>
      <c r="G66" s="1" t="s">
        <v>167</v>
      </c>
      <c r="H66" s="1"/>
      <c r="I66" s="1"/>
      <c r="J66" s="1"/>
      <c r="K66" s="1"/>
      <c r="L66" s="1" t="s">
        <v>167</v>
      </c>
      <c r="M66">
        <v>80</v>
      </c>
      <c r="N66">
        <v>1</v>
      </c>
      <c r="O66">
        <v>10999</v>
      </c>
      <c r="P66">
        <f>data[[#This Row],[سعر البيع ]]*data[[#This Row],[الكمية]]</f>
        <v>10999</v>
      </c>
      <c r="Q66" s="1" t="s">
        <v>16</v>
      </c>
      <c r="R66" s="2">
        <v>45550</v>
      </c>
      <c r="S66" s="2">
        <v>45616</v>
      </c>
      <c r="T66">
        <v>66</v>
      </c>
      <c r="U66" s="2">
        <v>45581</v>
      </c>
      <c r="V66">
        <v>31</v>
      </c>
      <c r="W66" s="1" t="s">
        <v>199</v>
      </c>
      <c r="X66" s="1" t="s">
        <v>198</v>
      </c>
      <c r="Y66" t="str">
        <f>IF(data[[#This Row],[معاد الانتظار(الفعلي)]]&gt;data[[#This Row],[معاد الانتظار(الهدف)]],"متأخر","في المعاد")</f>
        <v>في المعاد</v>
      </c>
    </row>
    <row r="67" spans="1:25" hidden="1" x14ac:dyDescent="0.3">
      <c r="A67" s="1" t="s">
        <v>183</v>
      </c>
      <c r="B67" s="1" t="s">
        <v>332</v>
      </c>
      <c r="C67" s="1" t="s">
        <v>184</v>
      </c>
      <c r="D67" s="1" t="s">
        <v>326</v>
      </c>
      <c r="E67" s="1" t="s">
        <v>8</v>
      </c>
      <c r="F67" s="1" t="s">
        <v>155</v>
      </c>
      <c r="G67" s="1" t="s">
        <v>167</v>
      </c>
      <c r="H67" s="1"/>
      <c r="I67" s="1"/>
      <c r="J67" s="1"/>
      <c r="K67" s="1"/>
      <c r="L67" s="1" t="s">
        <v>167</v>
      </c>
      <c r="M67">
        <v>80</v>
      </c>
      <c r="N67">
        <v>1</v>
      </c>
      <c r="O67">
        <v>10999</v>
      </c>
      <c r="P67">
        <f>data[[#This Row],[سعر البيع ]]*data[[#This Row],[الكمية]]</f>
        <v>10999</v>
      </c>
      <c r="Q67" s="1" t="s">
        <v>16</v>
      </c>
      <c r="R67" s="2">
        <v>45550</v>
      </c>
      <c r="S67" s="2">
        <v>45616</v>
      </c>
      <c r="T67">
        <v>66</v>
      </c>
      <c r="U67" s="2">
        <v>45581</v>
      </c>
      <c r="V67">
        <v>31</v>
      </c>
      <c r="W67" s="1" t="s">
        <v>199</v>
      </c>
      <c r="X67" s="1" t="s">
        <v>198</v>
      </c>
      <c r="Y67" t="str">
        <f>IF(data[[#This Row],[معاد الانتظار(الفعلي)]]&gt;data[[#This Row],[معاد الانتظار(الهدف)]],"متأخر","في المعاد")</f>
        <v>في المعاد</v>
      </c>
    </row>
    <row r="68" spans="1:25" hidden="1" x14ac:dyDescent="0.3">
      <c r="A68" s="1" t="s">
        <v>185</v>
      </c>
      <c r="B68" s="1" t="s">
        <v>332</v>
      </c>
      <c r="C68" s="1" t="s">
        <v>186</v>
      </c>
      <c r="D68" s="1" t="s">
        <v>326</v>
      </c>
      <c r="E68" s="1" t="s">
        <v>8</v>
      </c>
      <c r="F68" s="1"/>
      <c r="G68" s="1" t="s">
        <v>168</v>
      </c>
      <c r="H68" s="1" t="s">
        <v>172</v>
      </c>
      <c r="I68" s="1"/>
      <c r="J68" s="1"/>
      <c r="K68" s="1"/>
      <c r="L68" s="1" t="s">
        <v>168</v>
      </c>
      <c r="N68">
        <v>1</v>
      </c>
      <c r="O68">
        <v>21999</v>
      </c>
      <c r="P68">
        <f>data[[#This Row],[سعر البيع ]]*data[[#This Row],[الكمية]]</f>
        <v>21999</v>
      </c>
      <c r="Q68" s="1" t="s">
        <v>16</v>
      </c>
      <c r="R68" s="2">
        <v>45550</v>
      </c>
      <c r="S68" s="2">
        <v>45616</v>
      </c>
      <c r="T68">
        <v>66</v>
      </c>
      <c r="U68" s="2">
        <v>45584</v>
      </c>
      <c r="V68">
        <v>34</v>
      </c>
      <c r="W68" s="1" t="s">
        <v>199</v>
      </c>
      <c r="X68" s="1" t="s">
        <v>198</v>
      </c>
      <c r="Y68" t="str">
        <f>IF(data[[#This Row],[معاد الانتظار(الفعلي)]]&gt;data[[#This Row],[معاد الانتظار(الهدف)]],"متأخر","في المعاد")</f>
        <v>في المعاد</v>
      </c>
    </row>
    <row r="69" spans="1:25" hidden="1" x14ac:dyDescent="0.3">
      <c r="A69" s="1" t="s">
        <v>196</v>
      </c>
      <c r="B69" s="1" t="s">
        <v>332</v>
      </c>
      <c r="C69" s="1" t="s">
        <v>144</v>
      </c>
      <c r="D69" s="1" t="s">
        <v>212</v>
      </c>
      <c r="E69" s="1" t="s">
        <v>8</v>
      </c>
      <c r="F69" s="1"/>
      <c r="G69" s="1"/>
      <c r="H69" s="1"/>
      <c r="I69" s="1"/>
      <c r="J69" s="1"/>
      <c r="K69" s="1"/>
      <c r="L69" s="1"/>
      <c r="N69">
        <v>1</v>
      </c>
      <c r="O69">
        <v>7849</v>
      </c>
      <c r="P69">
        <f>data[[#This Row],[سعر البيع ]]*data[[#This Row],[الكمية]]</f>
        <v>7849</v>
      </c>
      <c r="Q69" s="1" t="s">
        <v>339</v>
      </c>
      <c r="R69" s="2">
        <v>45551</v>
      </c>
      <c r="S69" s="2">
        <v>45595</v>
      </c>
      <c r="T69">
        <v>44</v>
      </c>
      <c r="U69" s="2">
        <v>45610</v>
      </c>
      <c r="V69">
        <v>59</v>
      </c>
      <c r="W69" s="1" t="s">
        <v>28</v>
      </c>
      <c r="X69" s="1" t="s">
        <v>198</v>
      </c>
      <c r="Y69" t="str">
        <f>IF(data[[#This Row],[معاد الانتظار(الفعلي)]]&gt;data[[#This Row],[معاد الانتظار(الهدف)]],"متأخر","في المعاد")</f>
        <v>متأخر</v>
      </c>
    </row>
    <row r="70" spans="1:25" hidden="1" x14ac:dyDescent="0.3">
      <c r="A70" s="1" t="s">
        <v>83</v>
      </c>
      <c r="B70" s="1" t="s">
        <v>333</v>
      </c>
      <c r="C70" s="1" t="s">
        <v>200</v>
      </c>
      <c r="D70" s="1" t="s">
        <v>327</v>
      </c>
      <c r="E70" s="1" t="s">
        <v>83</v>
      </c>
      <c r="F70" s="1" t="s">
        <v>155</v>
      </c>
      <c r="G70" s="1" t="s">
        <v>167</v>
      </c>
      <c r="H70" s="1"/>
      <c r="I70" s="1"/>
      <c r="J70" s="1"/>
      <c r="K70" s="1"/>
      <c r="L70" s="1" t="s">
        <v>167</v>
      </c>
      <c r="M70">
        <v>80</v>
      </c>
      <c r="N70">
        <v>1</v>
      </c>
      <c r="O70">
        <v>5074</v>
      </c>
      <c r="P70">
        <f>data[[#This Row],[سعر البيع ]]*data[[#This Row],[الكمية]]</f>
        <v>5074</v>
      </c>
      <c r="Q70" s="1" t="s">
        <v>85</v>
      </c>
      <c r="R70" s="2">
        <v>45556</v>
      </c>
      <c r="S70" s="2">
        <v>45570</v>
      </c>
      <c r="T70">
        <v>14</v>
      </c>
      <c r="U70" s="2">
        <v>45577</v>
      </c>
      <c r="V70">
        <v>21</v>
      </c>
      <c r="W70" s="1" t="s">
        <v>199</v>
      </c>
      <c r="X70" s="1" t="s">
        <v>198</v>
      </c>
      <c r="Y70" t="str">
        <f>IF(data[[#This Row],[معاد الانتظار(الفعلي)]]&gt;data[[#This Row],[معاد الانتظار(الهدف)]],"متأخر","في المعاد")</f>
        <v>متأخر</v>
      </c>
    </row>
    <row r="71" spans="1:25" hidden="1" x14ac:dyDescent="0.3">
      <c r="A71" s="1" t="s">
        <v>41</v>
      </c>
      <c r="B71" s="1" t="s">
        <v>333</v>
      </c>
      <c r="C71" s="1" t="s">
        <v>42</v>
      </c>
      <c r="D71" s="1" t="s">
        <v>326</v>
      </c>
      <c r="E71" s="1" t="s">
        <v>43</v>
      </c>
      <c r="F71" s="1" t="s">
        <v>154</v>
      </c>
      <c r="G71" s="1" t="s">
        <v>201</v>
      </c>
      <c r="H71" s="1"/>
      <c r="I71" s="1"/>
      <c r="J71" s="1"/>
      <c r="K71" s="1"/>
      <c r="L71" s="1" t="s">
        <v>201</v>
      </c>
      <c r="M71">
        <v>100</v>
      </c>
      <c r="N71">
        <v>1</v>
      </c>
      <c r="O71">
        <v>6250</v>
      </c>
      <c r="P71">
        <f>data[[#This Row],[سعر البيع ]]*data[[#This Row],[الكمية]]</f>
        <v>6250</v>
      </c>
      <c r="Q71" s="1" t="s">
        <v>85</v>
      </c>
      <c r="R71" s="2">
        <v>45558</v>
      </c>
      <c r="S71" s="2">
        <v>45573</v>
      </c>
      <c r="T71">
        <v>15</v>
      </c>
      <c r="U71" s="2">
        <v>45582</v>
      </c>
      <c r="V71">
        <v>24</v>
      </c>
      <c r="W71" s="1" t="s">
        <v>199</v>
      </c>
      <c r="X71" s="1" t="s">
        <v>198</v>
      </c>
      <c r="Y71" t="str">
        <f>IF(data[[#This Row],[معاد الانتظار(الفعلي)]]&gt;data[[#This Row],[معاد الانتظار(الهدف)]],"متأخر","في المعاد")</f>
        <v>متأخر</v>
      </c>
    </row>
    <row r="72" spans="1:25" hidden="1" x14ac:dyDescent="0.3">
      <c r="A72" s="1" t="s">
        <v>41</v>
      </c>
      <c r="B72" s="1" t="s">
        <v>333</v>
      </c>
      <c r="C72" s="1" t="s">
        <v>42</v>
      </c>
      <c r="D72" s="1" t="s">
        <v>326</v>
      </c>
      <c r="E72" s="1" t="s">
        <v>43</v>
      </c>
      <c r="F72" s="1" t="s">
        <v>154</v>
      </c>
      <c r="G72" s="1" t="s">
        <v>201</v>
      </c>
      <c r="H72" s="1"/>
      <c r="I72" s="1"/>
      <c r="J72" s="1"/>
      <c r="K72" s="1"/>
      <c r="L72" s="1" t="s">
        <v>201</v>
      </c>
      <c r="M72">
        <v>100</v>
      </c>
      <c r="N72">
        <v>1</v>
      </c>
      <c r="O72">
        <v>6250</v>
      </c>
      <c r="P72">
        <f>data[[#This Row],[سعر البيع ]]*data[[#This Row],[الكمية]]</f>
        <v>6250</v>
      </c>
      <c r="Q72" s="1" t="s">
        <v>85</v>
      </c>
      <c r="R72" s="2">
        <v>45558</v>
      </c>
      <c r="S72" s="2">
        <v>45573</v>
      </c>
      <c r="T72">
        <v>15</v>
      </c>
      <c r="U72" s="2">
        <v>45582</v>
      </c>
      <c r="V72">
        <v>24</v>
      </c>
      <c r="W72" s="1" t="s">
        <v>199</v>
      </c>
      <c r="X72" s="1" t="s">
        <v>198</v>
      </c>
      <c r="Y72" t="str">
        <f>IF(data[[#This Row],[معاد الانتظار(الفعلي)]]&gt;data[[#This Row],[معاد الانتظار(الهدف)]],"متأخر","في المعاد")</f>
        <v>متأخر</v>
      </c>
    </row>
    <row r="73" spans="1:25" hidden="1" x14ac:dyDescent="0.3">
      <c r="A73" s="1" t="s">
        <v>202</v>
      </c>
      <c r="B73" s="1" t="s">
        <v>332</v>
      </c>
      <c r="C73" s="1" t="s">
        <v>42</v>
      </c>
      <c r="D73" s="1" t="s">
        <v>326</v>
      </c>
      <c r="E73" s="1" t="s">
        <v>8</v>
      </c>
      <c r="F73" s="1" t="s">
        <v>177</v>
      </c>
      <c r="G73" s="1" t="s">
        <v>167</v>
      </c>
      <c r="H73" s="1"/>
      <c r="I73" s="1"/>
      <c r="J73" s="1"/>
      <c r="K73" s="1"/>
      <c r="L73" s="1" t="s">
        <v>167</v>
      </c>
      <c r="M73">
        <v>120</v>
      </c>
      <c r="N73">
        <v>1</v>
      </c>
      <c r="O73">
        <v>8943</v>
      </c>
      <c r="P73">
        <f>data[[#This Row],[سعر البيع ]]*data[[#This Row],[الكمية]]</f>
        <v>8943</v>
      </c>
      <c r="Q73" s="1" t="s">
        <v>339</v>
      </c>
      <c r="R73" s="2">
        <v>45561</v>
      </c>
      <c r="S73" s="2">
        <v>45606</v>
      </c>
      <c r="T73">
        <v>45</v>
      </c>
      <c r="U73" s="2">
        <v>45575</v>
      </c>
      <c r="V73">
        <v>14</v>
      </c>
      <c r="W73" s="1" t="s">
        <v>199</v>
      </c>
      <c r="X73" s="1" t="s">
        <v>198</v>
      </c>
      <c r="Y73" t="str">
        <f>IF(data[[#This Row],[معاد الانتظار(الفعلي)]]&gt;data[[#This Row],[معاد الانتظار(الهدف)]],"متأخر","في المعاد")</f>
        <v>في المعاد</v>
      </c>
    </row>
    <row r="74" spans="1:25" hidden="1" x14ac:dyDescent="0.3">
      <c r="A74" s="1" t="s">
        <v>203</v>
      </c>
      <c r="B74" s="1" t="s">
        <v>332</v>
      </c>
      <c r="C74" s="1" t="s">
        <v>204</v>
      </c>
      <c r="D74" s="1" t="s">
        <v>322</v>
      </c>
      <c r="E74" s="1" t="s">
        <v>8</v>
      </c>
      <c r="F74" s="1"/>
      <c r="G74" s="1"/>
      <c r="H74" s="1"/>
      <c r="I74" s="1"/>
      <c r="J74" s="1"/>
      <c r="K74" s="1"/>
      <c r="L74" s="1"/>
      <c r="N74">
        <v>1</v>
      </c>
      <c r="O74">
        <v>8349</v>
      </c>
      <c r="P74">
        <f>data[[#This Row],[سعر البيع ]]*data[[#This Row],[الكمية]]</f>
        <v>8349</v>
      </c>
      <c r="Q74" s="1" t="s">
        <v>339</v>
      </c>
      <c r="R74" s="2">
        <v>45561</v>
      </c>
      <c r="S74" s="2">
        <v>45606</v>
      </c>
      <c r="T74">
        <v>45</v>
      </c>
      <c r="U74" s="2"/>
      <c r="V74">
        <v>0</v>
      </c>
      <c r="W74" s="1"/>
      <c r="X74" s="1" t="s">
        <v>192</v>
      </c>
      <c r="Y74" t="str">
        <f>IF(data[[#This Row],[معاد الانتظار(الفعلي)]]&gt;data[[#This Row],[معاد الانتظار(الهدف)]],"متأخر","في المعاد")</f>
        <v>في المعاد</v>
      </c>
    </row>
    <row r="75" spans="1:25" hidden="1" x14ac:dyDescent="0.3">
      <c r="A75" s="1" t="s">
        <v>52</v>
      </c>
      <c r="B75" s="1" t="s">
        <v>333</v>
      </c>
      <c r="C75" s="1" t="s">
        <v>230</v>
      </c>
      <c r="D75" s="1" t="s">
        <v>326</v>
      </c>
      <c r="E75" s="1" t="s">
        <v>52</v>
      </c>
      <c r="F75" s="1"/>
      <c r="G75" s="1"/>
      <c r="H75" s="1" t="s">
        <v>399</v>
      </c>
      <c r="I75" s="1"/>
      <c r="J75" s="1"/>
      <c r="K75" s="1"/>
      <c r="L75" s="1"/>
      <c r="N75">
        <v>1</v>
      </c>
      <c r="O75">
        <v>14950</v>
      </c>
      <c r="P75">
        <f>data[[#This Row],[سعر البيع ]]*data[[#This Row],[الكمية]]</f>
        <v>14950</v>
      </c>
      <c r="Q75" s="1" t="s">
        <v>16</v>
      </c>
      <c r="R75" s="2">
        <v>45561</v>
      </c>
      <c r="S75" s="2">
        <v>45579</v>
      </c>
      <c r="T75">
        <v>18</v>
      </c>
      <c r="U75" s="2">
        <v>45578</v>
      </c>
      <c r="V75">
        <v>17</v>
      </c>
      <c r="W75" s="1" t="s">
        <v>199</v>
      </c>
      <c r="X75" s="1" t="s">
        <v>198</v>
      </c>
      <c r="Y75" t="str">
        <f>IF(data[[#This Row],[معاد الانتظار(الفعلي)]]&gt;data[[#This Row],[معاد الانتظار(الهدف)]],"متأخر","في المعاد")</f>
        <v>في المعاد</v>
      </c>
    </row>
    <row r="76" spans="1:25" hidden="1" x14ac:dyDescent="0.3">
      <c r="A76" s="1" t="s">
        <v>52</v>
      </c>
      <c r="B76" s="1" t="s">
        <v>333</v>
      </c>
      <c r="C76" s="1"/>
      <c r="D76" s="1"/>
      <c r="E76" s="1" t="s">
        <v>52</v>
      </c>
      <c r="F76" s="1" t="s">
        <v>154</v>
      </c>
      <c r="G76" s="1" t="s">
        <v>207</v>
      </c>
      <c r="H76" s="1"/>
      <c r="I76" s="1"/>
      <c r="J76" s="1"/>
      <c r="K76" s="1"/>
      <c r="L76" s="1" t="s">
        <v>168</v>
      </c>
      <c r="M76">
        <v>100</v>
      </c>
      <c r="N76">
        <v>1</v>
      </c>
      <c r="O76">
        <v>9208</v>
      </c>
      <c r="P76">
        <f>data[[#This Row],[سعر البيع ]]*data[[#This Row],[الكمية]]</f>
        <v>9208</v>
      </c>
      <c r="Q76" s="1" t="s">
        <v>339</v>
      </c>
      <c r="R76" s="2">
        <v>45561</v>
      </c>
      <c r="S76" s="2">
        <v>45579</v>
      </c>
      <c r="T76">
        <v>18</v>
      </c>
      <c r="U76" s="2"/>
      <c r="V76">
        <v>0</v>
      </c>
      <c r="W76" s="1"/>
      <c r="X76" s="1" t="s">
        <v>192</v>
      </c>
      <c r="Y76" t="str">
        <f>IF(data[[#This Row],[معاد الانتظار(الفعلي)]]&gt;data[[#This Row],[معاد الانتظار(الهدف)]],"متأخر","في المعاد")</f>
        <v>في المعاد</v>
      </c>
    </row>
    <row r="77" spans="1:25" hidden="1" x14ac:dyDescent="0.3">
      <c r="A77" s="1" t="s">
        <v>52</v>
      </c>
      <c r="B77" s="1" t="s">
        <v>333</v>
      </c>
      <c r="C77" s="1"/>
      <c r="D77" s="1"/>
      <c r="E77" s="1" t="s">
        <v>52</v>
      </c>
      <c r="F77" s="1" t="s">
        <v>156</v>
      </c>
      <c r="G77" s="1" t="s">
        <v>167</v>
      </c>
      <c r="H77" s="1"/>
      <c r="I77" s="1"/>
      <c r="J77" s="1"/>
      <c r="K77" s="1"/>
      <c r="L77" s="1" t="s">
        <v>167</v>
      </c>
      <c r="M77">
        <v>120</v>
      </c>
      <c r="N77">
        <v>1</v>
      </c>
      <c r="O77">
        <v>7433</v>
      </c>
      <c r="P77">
        <f>data[[#This Row],[سعر البيع ]]*data[[#This Row],[الكمية]]</f>
        <v>7433</v>
      </c>
      <c r="Q77" s="1" t="s">
        <v>16</v>
      </c>
      <c r="R77" s="2">
        <v>45564</v>
      </c>
      <c r="S77" s="2">
        <v>45585</v>
      </c>
      <c r="T77">
        <v>21</v>
      </c>
      <c r="U77" s="2">
        <v>45586</v>
      </c>
      <c r="V77">
        <v>22</v>
      </c>
      <c r="W77" s="1" t="s">
        <v>199</v>
      </c>
      <c r="X77" s="1" t="s">
        <v>198</v>
      </c>
      <c r="Y77" t="str">
        <f>IF(data[[#This Row],[معاد الانتظار(الفعلي)]]&gt;data[[#This Row],[معاد الانتظار(الهدف)]],"متأخر","في المعاد")</f>
        <v>متأخر</v>
      </c>
    </row>
    <row r="78" spans="1:25" hidden="1" x14ac:dyDescent="0.3">
      <c r="A78" s="1" t="s">
        <v>83</v>
      </c>
      <c r="B78" s="1" t="s">
        <v>333</v>
      </c>
      <c r="C78" s="1" t="s">
        <v>200</v>
      </c>
      <c r="D78" s="1" t="s">
        <v>327</v>
      </c>
      <c r="E78" s="1" t="s">
        <v>83</v>
      </c>
      <c r="F78" s="1" t="s">
        <v>177</v>
      </c>
      <c r="G78" s="1" t="s">
        <v>167</v>
      </c>
      <c r="H78" s="1"/>
      <c r="I78" s="1"/>
      <c r="J78" s="1"/>
      <c r="K78" s="1"/>
      <c r="L78" s="1" t="s">
        <v>167</v>
      </c>
      <c r="M78">
        <v>120</v>
      </c>
      <c r="N78">
        <v>1</v>
      </c>
      <c r="O78">
        <v>4020</v>
      </c>
      <c r="P78">
        <f>data[[#This Row],[سعر البيع ]]*data[[#This Row],[الكمية]]</f>
        <v>4020</v>
      </c>
      <c r="Q78" s="1" t="s">
        <v>85</v>
      </c>
      <c r="R78" s="2">
        <v>45564</v>
      </c>
      <c r="S78" s="2">
        <v>45577</v>
      </c>
      <c r="T78">
        <v>13</v>
      </c>
      <c r="U78" s="2">
        <v>45577</v>
      </c>
      <c r="V78">
        <v>13</v>
      </c>
      <c r="W78" s="1" t="s">
        <v>199</v>
      </c>
      <c r="X78" s="1" t="s">
        <v>198</v>
      </c>
      <c r="Y78" t="str">
        <f>IF(data[[#This Row],[معاد الانتظار(الفعلي)]]&gt;data[[#This Row],[معاد الانتظار(الهدف)]],"متأخر","في المعاد")</f>
        <v>في المعاد</v>
      </c>
    </row>
    <row r="79" spans="1:25" hidden="1" x14ac:dyDescent="0.3">
      <c r="A79" s="1" t="s">
        <v>210</v>
      </c>
      <c r="B79" s="1" t="s">
        <v>332</v>
      </c>
      <c r="C79" s="1" t="s">
        <v>211</v>
      </c>
      <c r="D79" s="1" t="s">
        <v>212</v>
      </c>
      <c r="E79" s="1" t="s">
        <v>212</v>
      </c>
      <c r="F79" s="1" t="s">
        <v>213</v>
      </c>
      <c r="G79" s="1" t="s">
        <v>214</v>
      </c>
      <c r="H79" s="1"/>
      <c r="I79" s="1"/>
      <c r="J79" s="1"/>
      <c r="K79" s="1"/>
      <c r="L79" s="1" t="s">
        <v>214</v>
      </c>
      <c r="M79">
        <v>100</v>
      </c>
      <c r="N79">
        <v>1</v>
      </c>
      <c r="O79">
        <v>8544.9054400000005</v>
      </c>
      <c r="P79">
        <f>data[[#This Row],[سعر البيع ]]*data[[#This Row],[الكمية]]</f>
        <v>8544.9054400000005</v>
      </c>
      <c r="Q79" s="1" t="s">
        <v>390</v>
      </c>
      <c r="R79" s="2">
        <v>45566</v>
      </c>
      <c r="S79" s="2">
        <v>45574</v>
      </c>
      <c r="T79">
        <v>8</v>
      </c>
      <c r="U79" s="2">
        <v>45574</v>
      </c>
      <c r="V79">
        <v>8</v>
      </c>
      <c r="W79" s="1" t="s">
        <v>227</v>
      </c>
      <c r="X79" s="1" t="s">
        <v>198</v>
      </c>
      <c r="Y79" t="str">
        <f>IF(data[[#This Row],[معاد الانتظار(الفعلي)]]&gt;data[[#This Row],[معاد الانتظار(الهدف)]],"متأخر","في المعاد")</f>
        <v>في المعاد</v>
      </c>
    </row>
    <row r="80" spans="1:25" hidden="1" x14ac:dyDescent="0.3">
      <c r="A80" s="1" t="s">
        <v>210</v>
      </c>
      <c r="B80" s="1" t="s">
        <v>332</v>
      </c>
      <c r="C80" s="1" t="s">
        <v>211</v>
      </c>
      <c r="D80" s="1" t="s">
        <v>212</v>
      </c>
      <c r="E80" s="1" t="s">
        <v>212</v>
      </c>
      <c r="F80" s="1"/>
      <c r="G80" s="1" t="s">
        <v>217</v>
      </c>
      <c r="H80" s="1" t="s">
        <v>218</v>
      </c>
      <c r="I80" s="1"/>
      <c r="J80" s="1"/>
      <c r="K80" s="1"/>
      <c r="L80" s="1" t="s">
        <v>168</v>
      </c>
      <c r="N80">
        <v>1</v>
      </c>
      <c r="O80">
        <v>4600</v>
      </c>
      <c r="P80">
        <f>data[[#This Row],[سعر البيع ]]*data[[#This Row],[الكمية]]</f>
        <v>4600</v>
      </c>
      <c r="Q80" s="1" t="s">
        <v>390</v>
      </c>
      <c r="R80" s="2">
        <v>45566</v>
      </c>
      <c r="S80" s="2">
        <v>45574</v>
      </c>
      <c r="T80">
        <v>8</v>
      </c>
      <c r="U80" s="2">
        <v>45574</v>
      </c>
      <c r="V80">
        <v>8</v>
      </c>
      <c r="W80" s="1" t="s">
        <v>227</v>
      </c>
      <c r="X80" s="1" t="s">
        <v>198</v>
      </c>
      <c r="Y80" t="str">
        <f>IF(data[[#This Row],[معاد الانتظار(الفعلي)]]&gt;data[[#This Row],[معاد الانتظار(الهدف)]],"متأخر","في المعاد")</f>
        <v>في المعاد</v>
      </c>
    </row>
    <row r="81" spans="1:25" hidden="1" x14ac:dyDescent="0.3">
      <c r="A81" s="1" t="s">
        <v>210</v>
      </c>
      <c r="B81" s="1" t="s">
        <v>332</v>
      </c>
      <c r="C81" s="1" t="s">
        <v>211</v>
      </c>
      <c r="D81" s="1" t="s">
        <v>212</v>
      </c>
      <c r="E81" s="1" t="s">
        <v>212</v>
      </c>
      <c r="F81" s="1"/>
      <c r="G81" s="1" t="s">
        <v>168</v>
      </c>
      <c r="H81" s="1" t="s">
        <v>216</v>
      </c>
      <c r="I81" s="1"/>
      <c r="J81" s="1"/>
      <c r="K81" s="1"/>
      <c r="L81" s="1" t="s">
        <v>168</v>
      </c>
      <c r="N81">
        <v>1</v>
      </c>
      <c r="O81">
        <v>10000</v>
      </c>
      <c r="P81">
        <f>data[[#This Row],[سعر البيع ]]*data[[#This Row],[الكمية]]</f>
        <v>10000</v>
      </c>
      <c r="Q81" s="1" t="s">
        <v>390</v>
      </c>
      <c r="R81" s="2">
        <v>45566</v>
      </c>
      <c r="S81" s="2">
        <v>45574</v>
      </c>
      <c r="T81">
        <v>8</v>
      </c>
      <c r="U81" s="2">
        <v>45574</v>
      </c>
      <c r="V81">
        <v>8</v>
      </c>
      <c r="W81" s="1" t="s">
        <v>227</v>
      </c>
      <c r="X81" s="1" t="s">
        <v>198</v>
      </c>
      <c r="Y81" t="str">
        <f>IF(data[[#This Row],[معاد الانتظار(الفعلي)]]&gt;data[[#This Row],[معاد الانتظار(الهدف)]],"متأخر","في المعاد")</f>
        <v>في المعاد</v>
      </c>
    </row>
    <row r="82" spans="1:25" hidden="1" x14ac:dyDescent="0.3">
      <c r="A82" s="1" t="s">
        <v>210</v>
      </c>
      <c r="B82" s="1" t="s">
        <v>332</v>
      </c>
      <c r="C82" s="1" t="s">
        <v>211</v>
      </c>
      <c r="D82" s="1" t="s">
        <v>212</v>
      </c>
      <c r="E82" s="1" t="s">
        <v>212</v>
      </c>
      <c r="F82" s="1"/>
      <c r="G82" s="1" t="s">
        <v>168</v>
      </c>
      <c r="H82" s="1" t="s">
        <v>399</v>
      </c>
      <c r="I82" s="1"/>
      <c r="J82" s="1"/>
      <c r="K82" s="1"/>
      <c r="L82" s="1" t="s">
        <v>168</v>
      </c>
      <c r="N82">
        <v>1</v>
      </c>
      <c r="P82">
        <f>data[[#This Row],[سعر البيع ]]*data[[#This Row],[الكمية]]</f>
        <v>0</v>
      </c>
      <c r="Q82" s="1" t="s">
        <v>390</v>
      </c>
      <c r="R82" s="2">
        <v>45566</v>
      </c>
      <c r="S82" s="2">
        <v>45574</v>
      </c>
      <c r="T82">
        <v>8</v>
      </c>
      <c r="U82" s="2">
        <v>45574</v>
      </c>
      <c r="V82">
        <v>8</v>
      </c>
      <c r="W82" s="1" t="s">
        <v>227</v>
      </c>
      <c r="X82" s="1" t="s">
        <v>198</v>
      </c>
      <c r="Y82" t="str">
        <f>IF(data[[#This Row],[معاد الانتظار(الفعلي)]]&gt;data[[#This Row],[معاد الانتظار(الهدف)]],"متأخر","في المعاد")</f>
        <v>في المعاد</v>
      </c>
    </row>
    <row r="83" spans="1:25" hidden="1" x14ac:dyDescent="0.3">
      <c r="A83" s="1" t="s">
        <v>221</v>
      </c>
      <c r="B83" s="1" t="s">
        <v>332</v>
      </c>
      <c r="C83" s="1" t="s">
        <v>222</v>
      </c>
      <c r="D83" s="1" t="s">
        <v>326</v>
      </c>
      <c r="E83" s="1" t="s">
        <v>8</v>
      </c>
      <c r="F83" s="1"/>
      <c r="G83" s="1" t="s">
        <v>168</v>
      </c>
      <c r="H83" s="1" t="s">
        <v>168</v>
      </c>
      <c r="I83" s="1"/>
      <c r="J83" s="1"/>
      <c r="K83" s="1"/>
      <c r="L83" s="1" t="s">
        <v>168</v>
      </c>
      <c r="N83">
        <v>1</v>
      </c>
      <c r="O83">
        <v>8899</v>
      </c>
      <c r="P83">
        <f>data[[#This Row],[سعر البيع ]]*data[[#This Row],[الكمية]]</f>
        <v>8899</v>
      </c>
      <c r="Q83" s="1" t="s">
        <v>339</v>
      </c>
      <c r="R83" s="2">
        <v>45568</v>
      </c>
      <c r="S83" s="2">
        <v>45613</v>
      </c>
      <c r="T83">
        <v>45</v>
      </c>
      <c r="U83" s="2"/>
      <c r="V83">
        <v>0</v>
      </c>
      <c r="W83" s="1"/>
      <c r="X83" s="1"/>
      <c r="Y83" t="str">
        <f>IF(data[[#This Row],[معاد الانتظار(الفعلي)]]&gt;data[[#This Row],[معاد الانتظار(الهدف)]],"متأخر","في المعاد")</f>
        <v>في المعاد</v>
      </c>
    </row>
    <row r="84" spans="1:25" hidden="1" x14ac:dyDescent="0.3">
      <c r="A84" s="1" t="s">
        <v>52</v>
      </c>
      <c r="B84" s="1" t="s">
        <v>333</v>
      </c>
      <c r="C84" s="1" t="s">
        <v>224</v>
      </c>
      <c r="D84" s="1"/>
      <c r="E84" s="1" t="s">
        <v>52</v>
      </c>
      <c r="F84" s="1"/>
      <c r="G84" s="1" t="s">
        <v>207</v>
      </c>
      <c r="H84" s="1" t="s">
        <v>259</v>
      </c>
      <c r="I84" s="1"/>
      <c r="J84" s="1"/>
      <c r="K84" s="1"/>
      <c r="L84" s="1" t="s">
        <v>168</v>
      </c>
      <c r="N84">
        <v>1</v>
      </c>
      <c r="O84">
        <v>14550</v>
      </c>
      <c r="P84">
        <f>data[[#This Row],[سعر البيع ]]*data[[#This Row],[الكمية]]</f>
        <v>14550</v>
      </c>
      <c r="Q84" s="1" t="s">
        <v>16</v>
      </c>
      <c r="R84" s="2">
        <v>45573</v>
      </c>
      <c r="S84" s="2">
        <v>45594</v>
      </c>
      <c r="T84">
        <v>21</v>
      </c>
      <c r="U84" s="2">
        <v>45595</v>
      </c>
      <c r="V84">
        <v>22</v>
      </c>
      <c r="W84" s="1" t="s">
        <v>199</v>
      </c>
      <c r="X84" s="1" t="s">
        <v>198</v>
      </c>
      <c r="Y84" t="str">
        <f>IF(data[[#This Row],[معاد الانتظار(الفعلي)]]&gt;data[[#This Row],[معاد الانتظار(الهدف)]],"متأخر","في المعاد")</f>
        <v>متأخر</v>
      </c>
    </row>
    <row r="85" spans="1:25" hidden="1" x14ac:dyDescent="0.3">
      <c r="A85" s="1" t="s">
        <v>52</v>
      </c>
      <c r="B85" s="1" t="s">
        <v>333</v>
      </c>
      <c r="C85" s="1" t="s">
        <v>229</v>
      </c>
      <c r="D85" s="1" t="s">
        <v>322</v>
      </c>
      <c r="E85" s="1" t="s">
        <v>52</v>
      </c>
      <c r="F85" s="1"/>
      <c r="G85" s="1" t="s">
        <v>207</v>
      </c>
      <c r="H85" s="1" t="s">
        <v>259</v>
      </c>
      <c r="I85" s="1"/>
      <c r="J85" s="1"/>
      <c r="K85" s="1"/>
      <c r="L85" s="1" t="s">
        <v>168</v>
      </c>
      <c r="N85">
        <v>1</v>
      </c>
      <c r="O85">
        <v>14550</v>
      </c>
      <c r="P85">
        <f>data[[#This Row],[سعر البيع ]]*data[[#This Row],[الكمية]]</f>
        <v>14550</v>
      </c>
      <c r="Q85" s="1" t="s">
        <v>16</v>
      </c>
      <c r="R85" s="2">
        <v>45572</v>
      </c>
      <c r="S85" s="2">
        <v>45594</v>
      </c>
      <c r="T85">
        <v>22</v>
      </c>
      <c r="U85" s="2">
        <v>45580</v>
      </c>
      <c r="V85">
        <v>8</v>
      </c>
      <c r="W85" s="1" t="s">
        <v>199</v>
      </c>
      <c r="X85" s="1" t="s">
        <v>198</v>
      </c>
      <c r="Y85" t="str">
        <f>IF(data[[#This Row],[معاد الانتظار(الفعلي)]]&gt;data[[#This Row],[معاد الانتظار(الهدف)]],"متأخر","في المعاد")</f>
        <v>في المعاد</v>
      </c>
    </row>
    <row r="86" spans="1:25" hidden="1" x14ac:dyDescent="0.3">
      <c r="A86" s="1" t="s">
        <v>52</v>
      </c>
      <c r="B86" s="1" t="s">
        <v>333</v>
      </c>
      <c r="C86" s="1"/>
      <c r="D86" s="1"/>
      <c r="E86" s="1" t="s">
        <v>52</v>
      </c>
      <c r="F86" s="1"/>
      <c r="G86" s="1" t="s">
        <v>207</v>
      </c>
      <c r="H86" s="1" t="s">
        <v>399</v>
      </c>
      <c r="I86" s="1"/>
      <c r="J86" s="1"/>
      <c r="K86" s="1"/>
      <c r="L86" s="1" t="s">
        <v>168</v>
      </c>
      <c r="N86">
        <v>1</v>
      </c>
      <c r="O86">
        <v>14550</v>
      </c>
      <c r="P86">
        <f>data[[#This Row],[سعر البيع ]]*data[[#This Row],[الكمية]]</f>
        <v>14550</v>
      </c>
      <c r="Q86" s="1" t="s">
        <v>339</v>
      </c>
      <c r="R86" s="2">
        <v>45575</v>
      </c>
      <c r="S86" s="2">
        <v>45596</v>
      </c>
      <c r="T86">
        <v>21</v>
      </c>
      <c r="U86" s="2">
        <v>45598</v>
      </c>
      <c r="V86">
        <v>23</v>
      </c>
      <c r="W86" s="1" t="s">
        <v>199</v>
      </c>
      <c r="X86" s="1" t="s">
        <v>198</v>
      </c>
      <c r="Y86" t="str">
        <f>IF(data[[#This Row],[معاد الانتظار(الفعلي)]]&gt;data[[#This Row],[معاد الانتظار(الهدف)]],"متأخر","في المعاد")</f>
        <v>متأخر</v>
      </c>
    </row>
    <row r="87" spans="1:25" hidden="1" x14ac:dyDescent="0.3">
      <c r="A87" s="1" t="s">
        <v>231</v>
      </c>
      <c r="B87" s="1" t="s">
        <v>332</v>
      </c>
      <c r="C87" s="1" t="s">
        <v>102</v>
      </c>
      <c r="D87" s="1" t="s">
        <v>326</v>
      </c>
      <c r="E87" s="1" t="s">
        <v>8</v>
      </c>
      <c r="F87" s="1" t="s">
        <v>232</v>
      </c>
      <c r="G87" s="1" t="s">
        <v>234</v>
      </c>
      <c r="H87" s="1"/>
      <c r="I87" s="1"/>
      <c r="J87" s="1"/>
      <c r="K87" s="1"/>
      <c r="L87" s="1" t="s">
        <v>234</v>
      </c>
      <c r="M87" t="s">
        <v>233</v>
      </c>
      <c r="N87">
        <v>1</v>
      </c>
      <c r="O87">
        <v>12899</v>
      </c>
      <c r="P87">
        <f>data[[#This Row],[سعر البيع ]]*data[[#This Row],[الكمية]]</f>
        <v>12899</v>
      </c>
      <c r="Q87" s="1" t="s">
        <v>339</v>
      </c>
      <c r="R87" s="2">
        <v>45578</v>
      </c>
      <c r="S87" s="2">
        <v>45643</v>
      </c>
      <c r="T87">
        <v>65</v>
      </c>
      <c r="U87" s="2">
        <v>45598</v>
      </c>
      <c r="V87">
        <v>20</v>
      </c>
      <c r="W87" s="1" t="s">
        <v>199</v>
      </c>
      <c r="X87" s="1" t="s">
        <v>198</v>
      </c>
      <c r="Y87" t="str">
        <f>IF(data[[#This Row],[معاد الانتظار(الفعلي)]]&gt;data[[#This Row],[معاد الانتظار(الهدف)]],"متأخر","في المعاد")</f>
        <v>في المعاد</v>
      </c>
    </row>
    <row r="88" spans="1:25" hidden="1" x14ac:dyDescent="0.3">
      <c r="A88" s="1" t="s">
        <v>235</v>
      </c>
      <c r="B88" s="1" t="s">
        <v>332</v>
      </c>
      <c r="C88" s="1" t="s">
        <v>49</v>
      </c>
      <c r="D88" s="1" t="s">
        <v>326</v>
      </c>
      <c r="E88" s="1" t="s">
        <v>8</v>
      </c>
      <c r="F88" s="1" t="s">
        <v>155</v>
      </c>
      <c r="G88" s="1" t="s">
        <v>167</v>
      </c>
      <c r="H88" s="1"/>
      <c r="I88" s="1"/>
      <c r="J88" s="1"/>
      <c r="K88" s="1"/>
      <c r="L88" s="1" t="s">
        <v>167</v>
      </c>
      <c r="M88">
        <v>80</v>
      </c>
      <c r="N88">
        <v>1</v>
      </c>
      <c r="O88">
        <v>10499</v>
      </c>
      <c r="P88">
        <f>data[[#This Row],[سعر البيع ]]*data[[#This Row],[الكمية]]</f>
        <v>10499</v>
      </c>
      <c r="Q88" s="1" t="s">
        <v>16</v>
      </c>
      <c r="R88" s="2">
        <v>45581</v>
      </c>
      <c r="S88" s="2">
        <v>45645</v>
      </c>
      <c r="T88">
        <v>64</v>
      </c>
      <c r="U88" s="2">
        <v>45586</v>
      </c>
      <c r="V88">
        <v>5</v>
      </c>
      <c r="W88" s="1" t="s">
        <v>199</v>
      </c>
      <c r="X88" s="1" t="s">
        <v>198</v>
      </c>
      <c r="Y88" t="str">
        <f>IF(data[[#This Row],[معاد الانتظار(الفعلي)]]&gt;data[[#This Row],[معاد الانتظار(الهدف)]],"متأخر","في المعاد")</f>
        <v>في المعاد</v>
      </c>
    </row>
    <row r="89" spans="1:25" hidden="1" x14ac:dyDescent="0.3">
      <c r="A89" s="1" t="s">
        <v>237</v>
      </c>
      <c r="B89" s="1" t="s">
        <v>332</v>
      </c>
      <c r="C89" s="1" t="s">
        <v>238</v>
      </c>
      <c r="D89" s="1" t="s">
        <v>323</v>
      </c>
      <c r="E89" s="1" t="s">
        <v>8</v>
      </c>
      <c r="F89" s="1" t="s">
        <v>152</v>
      </c>
      <c r="G89" s="1" t="s">
        <v>234</v>
      </c>
      <c r="H89" s="1"/>
      <c r="I89" s="1"/>
      <c r="J89" s="1"/>
      <c r="K89" s="1"/>
      <c r="L89" s="1" t="s">
        <v>234</v>
      </c>
      <c r="M89" t="s">
        <v>239</v>
      </c>
      <c r="N89">
        <v>1</v>
      </c>
      <c r="O89">
        <v>12899</v>
      </c>
      <c r="P89">
        <f>data[[#This Row],[سعر البيع ]]*data[[#This Row],[الكمية]]</f>
        <v>12899</v>
      </c>
      <c r="Q89" s="1" t="s">
        <v>16</v>
      </c>
      <c r="R89" s="2">
        <v>45582</v>
      </c>
      <c r="S89" s="2">
        <v>45648</v>
      </c>
      <c r="T89">
        <v>66</v>
      </c>
      <c r="U89" s="2">
        <v>45629</v>
      </c>
      <c r="V89">
        <v>47</v>
      </c>
      <c r="W89" s="1" t="s">
        <v>28</v>
      </c>
      <c r="X89" s="1" t="s">
        <v>198</v>
      </c>
      <c r="Y89" t="str">
        <f>IF(data[[#This Row],[معاد الانتظار(الفعلي)]]&gt;data[[#This Row],[معاد الانتظار(الهدف)]],"متأخر","في المعاد")</f>
        <v>في المعاد</v>
      </c>
    </row>
    <row r="90" spans="1:25" hidden="1" x14ac:dyDescent="0.3">
      <c r="A90" s="1" t="s">
        <v>240</v>
      </c>
      <c r="B90" s="1" t="s">
        <v>332</v>
      </c>
      <c r="C90" s="1" t="s">
        <v>242</v>
      </c>
      <c r="D90" s="1"/>
      <c r="E90" s="1" t="s">
        <v>263</v>
      </c>
      <c r="F90" s="1" t="s">
        <v>244</v>
      </c>
      <c r="G90" s="1" t="s">
        <v>220</v>
      </c>
      <c r="H90" s="1" t="s">
        <v>245</v>
      </c>
      <c r="I90" s="1"/>
      <c r="J90" s="1"/>
      <c r="K90" s="1"/>
      <c r="L90" s="1" t="s">
        <v>220</v>
      </c>
      <c r="M90">
        <v>140</v>
      </c>
      <c r="N90">
        <v>1</v>
      </c>
      <c r="O90">
        <v>5135</v>
      </c>
      <c r="P90">
        <f>data[[#This Row],[سعر البيع ]]*data[[#This Row],[الكمية]]</f>
        <v>5135</v>
      </c>
      <c r="Q90" s="1" t="s">
        <v>16</v>
      </c>
      <c r="R90" s="2">
        <v>45585</v>
      </c>
      <c r="S90" s="2">
        <v>45613</v>
      </c>
      <c r="T90">
        <v>28</v>
      </c>
      <c r="U90" s="2">
        <v>45610</v>
      </c>
      <c r="V90">
        <v>25</v>
      </c>
      <c r="W90" s="1" t="s">
        <v>199</v>
      </c>
      <c r="X90" s="1" t="s">
        <v>198</v>
      </c>
      <c r="Y90" t="str">
        <f>IF(data[[#This Row],[معاد الانتظار(الفعلي)]]&gt;data[[#This Row],[معاد الانتظار(الهدف)]],"متأخر","في المعاد")</f>
        <v>في المعاد</v>
      </c>
    </row>
    <row r="91" spans="1:25" hidden="1" x14ac:dyDescent="0.3">
      <c r="A91" s="1" t="s">
        <v>52</v>
      </c>
      <c r="B91" s="1" t="s">
        <v>333</v>
      </c>
      <c r="C91" s="1" t="s">
        <v>204</v>
      </c>
      <c r="D91" s="1" t="s">
        <v>322</v>
      </c>
      <c r="E91" s="1" t="s">
        <v>52</v>
      </c>
      <c r="F91" s="1" t="s">
        <v>246</v>
      </c>
      <c r="G91" s="1" t="s">
        <v>247</v>
      </c>
      <c r="H91" s="1"/>
      <c r="I91" s="1"/>
      <c r="J91" s="1"/>
      <c r="K91" s="1"/>
      <c r="L91" s="1" t="s">
        <v>247</v>
      </c>
      <c r="M91">
        <v>100</v>
      </c>
      <c r="N91">
        <v>1</v>
      </c>
      <c r="O91">
        <v>12777.5</v>
      </c>
      <c r="P91">
        <f>data[[#This Row],[سعر البيع ]]*data[[#This Row],[الكمية]]</f>
        <v>12777.5</v>
      </c>
      <c r="Q91" s="1" t="s">
        <v>339</v>
      </c>
      <c r="R91" s="2">
        <v>45587</v>
      </c>
      <c r="S91" s="2">
        <v>45608</v>
      </c>
      <c r="T91">
        <v>21</v>
      </c>
      <c r="U91" s="2">
        <v>45614</v>
      </c>
      <c r="V91">
        <v>27</v>
      </c>
      <c r="W91" s="1" t="s">
        <v>199</v>
      </c>
      <c r="X91" s="1" t="s">
        <v>198</v>
      </c>
      <c r="Y91" t="str">
        <f>IF(data[[#This Row],[معاد الانتظار(الفعلي)]]&gt;data[[#This Row],[معاد الانتظار(الهدف)]],"متأخر","في المعاد")</f>
        <v>متأخر</v>
      </c>
    </row>
    <row r="92" spans="1:25" hidden="1" x14ac:dyDescent="0.3">
      <c r="A92" s="1" t="s">
        <v>52</v>
      </c>
      <c r="B92" s="1" t="s">
        <v>333</v>
      </c>
      <c r="C92" s="1" t="s">
        <v>204</v>
      </c>
      <c r="D92" s="1" t="s">
        <v>322</v>
      </c>
      <c r="E92" s="1" t="s">
        <v>52</v>
      </c>
      <c r="F92" s="1" t="s">
        <v>246</v>
      </c>
      <c r="G92" s="1" t="s">
        <v>247</v>
      </c>
      <c r="H92" s="1"/>
      <c r="I92" s="1"/>
      <c r="J92" s="1"/>
      <c r="K92" s="1"/>
      <c r="L92" s="1" t="s">
        <v>247</v>
      </c>
      <c r="M92">
        <v>100</v>
      </c>
      <c r="N92">
        <v>1</v>
      </c>
      <c r="O92">
        <v>12777.5</v>
      </c>
      <c r="P92">
        <f>data[[#This Row],[سعر البيع ]]*data[[#This Row],[الكمية]]</f>
        <v>12777.5</v>
      </c>
      <c r="Q92" s="1" t="s">
        <v>339</v>
      </c>
      <c r="R92" s="2">
        <v>45587</v>
      </c>
      <c r="S92" s="2">
        <v>45608</v>
      </c>
      <c r="T92">
        <v>21</v>
      </c>
      <c r="U92" s="2">
        <v>45614</v>
      </c>
      <c r="V92">
        <v>27</v>
      </c>
      <c r="W92" s="1" t="s">
        <v>199</v>
      </c>
      <c r="X92" s="1" t="s">
        <v>198</v>
      </c>
      <c r="Y92" t="str">
        <f>IF(data[[#This Row],[معاد الانتظار(الفعلي)]]&gt;data[[#This Row],[معاد الانتظار(الهدف)]],"متأخر","في المعاد")</f>
        <v>متأخر</v>
      </c>
    </row>
    <row r="93" spans="1:25" hidden="1" x14ac:dyDescent="0.3">
      <c r="A93" s="1" t="s">
        <v>83</v>
      </c>
      <c r="B93" s="1" t="s">
        <v>333</v>
      </c>
      <c r="C93" s="1" t="s">
        <v>248</v>
      </c>
      <c r="D93" s="1" t="s">
        <v>326</v>
      </c>
      <c r="E93" s="1" t="s">
        <v>83</v>
      </c>
      <c r="F93" s="1" t="s">
        <v>246</v>
      </c>
      <c r="G93" s="1" t="s">
        <v>247</v>
      </c>
      <c r="H93" s="1"/>
      <c r="I93" s="1"/>
      <c r="J93" s="1"/>
      <c r="K93" s="1"/>
      <c r="L93" s="1" t="s">
        <v>247</v>
      </c>
      <c r="M93">
        <v>100</v>
      </c>
      <c r="N93">
        <v>1</v>
      </c>
      <c r="O93">
        <v>8544.91</v>
      </c>
      <c r="P93">
        <f>data[[#This Row],[سعر البيع ]]*data[[#This Row],[الكمية]]</f>
        <v>8544.91</v>
      </c>
      <c r="Q93" s="1" t="s">
        <v>85</v>
      </c>
      <c r="R93" s="2">
        <v>45587</v>
      </c>
      <c r="S93" s="2"/>
      <c r="T93">
        <v>0</v>
      </c>
      <c r="U93" s="2"/>
      <c r="V93">
        <v>0</v>
      </c>
      <c r="W93" s="1"/>
      <c r="X93" s="1" t="s">
        <v>192</v>
      </c>
    </row>
    <row r="94" spans="1:25" hidden="1" x14ac:dyDescent="0.3">
      <c r="A94" s="1" t="s">
        <v>250</v>
      </c>
      <c r="B94" s="1" t="s">
        <v>332</v>
      </c>
      <c r="C94" s="1" t="s">
        <v>251</v>
      </c>
      <c r="D94" s="1" t="s">
        <v>322</v>
      </c>
      <c r="E94" s="1" t="s">
        <v>8</v>
      </c>
      <c r="F94" s="1" t="s">
        <v>177</v>
      </c>
      <c r="G94" s="1" t="s">
        <v>167</v>
      </c>
      <c r="H94" s="1"/>
      <c r="I94" s="1"/>
      <c r="J94" s="1"/>
      <c r="K94" s="1"/>
      <c r="L94" s="1" t="s">
        <v>167</v>
      </c>
      <c r="M94">
        <v>120</v>
      </c>
      <c r="N94">
        <v>1</v>
      </c>
      <c r="O94">
        <v>8943</v>
      </c>
      <c r="P94">
        <f>data[[#This Row],[سعر البيع ]]*data[[#This Row],[الكمية]]</f>
        <v>8943</v>
      </c>
      <c r="Q94" s="1" t="s">
        <v>339</v>
      </c>
      <c r="R94" s="2">
        <v>45586</v>
      </c>
      <c r="S94" s="2">
        <v>45610</v>
      </c>
      <c r="T94">
        <v>24</v>
      </c>
      <c r="U94" s="2">
        <v>45614</v>
      </c>
      <c r="V94">
        <v>28</v>
      </c>
      <c r="W94" s="1" t="s">
        <v>199</v>
      </c>
      <c r="X94" s="1" t="s">
        <v>198</v>
      </c>
      <c r="Y94" t="str">
        <f>IF(data[[#This Row],[معاد الانتظار(الفعلي)]]&gt;data[[#This Row],[معاد الانتظار(الهدف)]],"متأخر","في المعاد")</f>
        <v>متأخر</v>
      </c>
    </row>
    <row r="95" spans="1:25" hidden="1" x14ac:dyDescent="0.3">
      <c r="A95" s="1" t="s">
        <v>52</v>
      </c>
      <c r="B95" s="1" t="s">
        <v>333</v>
      </c>
      <c r="C95" s="1"/>
      <c r="D95" s="1"/>
      <c r="E95" s="1" t="s">
        <v>52</v>
      </c>
      <c r="F95" s="1"/>
      <c r="G95" s="1" t="s">
        <v>168</v>
      </c>
      <c r="H95" s="1"/>
      <c r="I95" s="1"/>
      <c r="J95" s="1"/>
      <c r="K95" s="1"/>
      <c r="L95" s="1" t="s">
        <v>168</v>
      </c>
      <c r="N95">
        <v>1</v>
      </c>
      <c r="O95">
        <v>15516</v>
      </c>
      <c r="P95">
        <f>data[[#This Row],[سعر البيع ]]*data[[#This Row],[الكمية]]</f>
        <v>15516</v>
      </c>
      <c r="Q95" s="1" t="s">
        <v>16</v>
      </c>
      <c r="R95" s="2">
        <v>45589</v>
      </c>
      <c r="S95" s="2">
        <v>45610</v>
      </c>
      <c r="T95">
        <v>21</v>
      </c>
      <c r="U95" s="2">
        <v>45595</v>
      </c>
      <c r="V95">
        <v>6</v>
      </c>
      <c r="W95" s="1" t="s">
        <v>199</v>
      </c>
      <c r="X95" s="1" t="s">
        <v>198</v>
      </c>
      <c r="Y95" t="str">
        <f>IF(data[[#This Row],[معاد الانتظار(الفعلي)]]&gt;data[[#This Row],[معاد الانتظار(الهدف)]],"متأخر","في المعاد")</f>
        <v>في المعاد</v>
      </c>
    </row>
    <row r="96" spans="1:25" hidden="1" x14ac:dyDescent="0.3">
      <c r="A96" s="1" t="s">
        <v>52</v>
      </c>
      <c r="B96" s="1" t="s">
        <v>333</v>
      </c>
      <c r="C96" s="1"/>
      <c r="D96" s="1"/>
      <c r="E96" s="1" t="s">
        <v>52</v>
      </c>
      <c r="F96" s="1" t="s">
        <v>154</v>
      </c>
      <c r="G96" s="1" t="s">
        <v>168</v>
      </c>
      <c r="H96" s="1"/>
      <c r="I96" s="1"/>
      <c r="J96" s="1"/>
      <c r="K96" s="1"/>
      <c r="L96" s="1" t="s">
        <v>168</v>
      </c>
      <c r="M96">
        <v>100</v>
      </c>
      <c r="N96">
        <v>1</v>
      </c>
      <c r="O96">
        <v>10045</v>
      </c>
      <c r="P96">
        <f>data[[#This Row],[سعر البيع ]]*data[[#This Row],[الكمية]]</f>
        <v>10045</v>
      </c>
      <c r="Q96" s="1" t="s">
        <v>339</v>
      </c>
      <c r="R96" s="2">
        <v>45591</v>
      </c>
      <c r="S96" s="2">
        <v>45612</v>
      </c>
      <c r="T96">
        <v>21</v>
      </c>
      <c r="U96" s="2"/>
      <c r="V96">
        <v>0</v>
      </c>
      <c r="W96" s="1"/>
      <c r="X96" s="1" t="s">
        <v>192</v>
      </c>
      <c r="Y96" t="str">
        <f>IF(data[[#This Row],[معاد الانتظار(الفعلي)]]&gt;data[[#This Row],[معاد الانتظار(الهدف)]],"متأخر","في المعاد")</f>
        <v>في المعاد</v>
      </c>
    </row>
    <row r="97" spans="1:25" hidden="1" x14ac:dyDescent="0.3">
      <c r="A97" s="1" t="s">
        <v>131</v>
      </c>
      <c r="B97" s="1" t="s">
        <v>332</v>
      </c>
      <c r="C97" s="1" t="s">
        <v>252</v>
      </c>
      <c r="D97" s="1" t="s">
        <v>322</v>
      </c>
      <c r="E97" s="1" t="s">
        <v>8</v>
      </c>
      <c r="F97" s="1" t="s">
        <v>154</v>
      </c>
      <c r="G97" s="1" t="s">
        <v>168</v>
      </c>
      <c r="H97" s="1"/>
      <c r="I97" s="1"/>
      <c r="J97" s="1"/>
      <c r="K97" s="1"/>
      <c r="L97" s="1" t="s">
        <v>168</v>
      </c>
      <c r="M97">
        <v>90</v>
      </c>
      <c r="N97">
        <v>1</v>
      </c>
      <c r="O97">
        <v>11649</v>
      </c>
      <c r="P97">
        <f>data[[#This Row],[سعر البيع ]]*data[[#This Row],[الكمية]]</f>
        <v>11649</v>
      </c>
      <c r="Q97" s="1" t="s">
        <v>339</v>
      </c>
      <c r="R97" s="2">
        <v>45591</v>
      </c>
      <c r="S97" s="2">
        <v>45606</v>
      </c>
      <c r="T97">
        <v>15</v>
      </c>
      <c r="U97" s="2">
        <v>45614</v>
      </c>
      <c r="V97">
        <v>23</v>
      </c>
      <c r="W97" s="1" t="s">
        <v>199</v>
      </c>
      <c r="X97" s="1" t="s">
        <v>198</v>
      </c>
      <c r="Y97" t="str">
        <f>IF(data[[#This Row],[معاد الانتظار(الفعلي)]]&gt;data[[#This Row],[معاد الانتظار(الهدف)]],"متأخر","في المعاد")</f>
        <v>متأخر</v>
      </c>
    </row>
    <row r="98" spans="1:25" hidden="1" x14ac:dyDescent="0.3">
      <c r="A98" s="1" t="s">
        <v>131</v>
      </c>
      <c r="B98" s="1" t="s">
        <v>332</v>
      </c>
      <c r="C98" s="1" t="s">
        <v>252</v>
      </c>
      <c r="D98" s="1" t="s">
        <v>322</v>
      </c>
      <c r="E98" s="1" t="s">
        <v>8</v>
      </c>
      <c r="F98" s="1" t="s">
        <v>154</v>
      </c>
      <c r="G98" s="1" t="s">
        <v>168</v>
      </c>
      <c r="H98" s="1"/>
      <c r="I98" s="1"/>
      <c r="J98" s="1"/>
      <c r="K98" s="1"/>
      <c r="L98" s="1" t="s">
        <v>168</v>
      </c>
      <c r="M98">
        <v>90</v>
      </c>
      <c r="N98">
        <v>1</v>
      </c>
      <c r="O98">
        <v>11649</v>
      </c>
      <c r="P98">
        <f>data[[#This Row],[سعر البيع ]]*data[[#This Row],[الكمية]]</f>
        <v>11649</v>
      </c>
      <c r="Q98" s="1" t="s">
        <v>339</v>
      </c>
      <c r="R98" s="2">
        <v>45591</v>
      </c>
      <c r="S98" s="2">
        <v>45606</v>
      </c>
      <c r="T98">
        <v>15</v>
      </c>
      <c r="U98" s="2">
        <v>45614</v>
      </c>
      <c r="V98">
        <v>23</v>
      </c>
      <c r="W98" s="1" t="s">
        <v>199</v>
      </c>
      <c r="X98" s="1" t="s">
        <v>198</v>
      </c>
      <c r="Y98" t="str">
        <f>IF(data[[#This Row],[معاد الانتظار(الفعلي)]]&gt;data[[#This Row],[معاد الانتظار(الهدف)]],"متأخر","في المعاد")</f>
        <v>متأخر</v>
      </c>
    </row>
    <row r="99" spans="1:25" hidden="1" x14ac:dyDescent="0.3">
      <c r="A99" s="1" t="s">
        <v>253</v>
      </c>
      <c r="B99" s="1" t="s">
        <v>332</v>
      </c>
      <c r="C99" s="1" t="s">
        <v>107</v>
      </c>
      <c r="D99" s="1" t="s">
        <v>326</v>
      </c>
      <c r="E99" s="1" t="s">
        <v>8</v>
      </c>
      <c r="F99" s="1" t="s">
        <v>156</v>
      </c>
      <c r="G99" s="1" t="s">
        <v>167</v>
      </c>
      <c r="H99" s="1"/>
      <c r="I99" s="1"/>
      <c r="J99" s="1"/>
      <c r="K99" s="1"/>
      <c r="L99" s="1" t="s">
        <v>167</v>
      </c>
      <c r="M99">
        <v>100</v>
      </c>
      <c r="N99">
        <v>1</v>
      </c>
      <c r="O99">
        <v>5100</v>
      </c>
      <c r="P99">
        <f>data[[#This Row],[سعر البيع ]]*data[[#This Row],[الكمية]]</f>
        <v>5100</v>
      </c>
      <c r="Q99" s="1" t="s">
        <v>339</v>
      </c>
      <c r="R99" s="2">
        <v>45593</v>
      </c>
      <c r="S99" s="2">
        <v>45607</v>
      </c>
      <c r="T99">
        <v>14</v>
      </c>
      <c r="U99" s="2">
        <v>45617</v>
      </c>
      <c r="V99">
        <v>24</v>
      </c>
      <c r="W99" s="1" t="s">
        <v>199</v>
      </c>
      <c r="X99" s="1" t="s">
        <v>198</v>
      </c>
      <c r="Y99" t="str">
        <f>IF(data[[#This Row],[معاد الانتظار(الفعلي)]]&gt;data[[#This Row],[معاد الانتظار(الهدف)]],"متأخر","في المعاد")</f>
        <v>متأخر</v>
      </c>
    </row>
    <row r="100" spans="1:25" hidden="1" x14ac:dyDescent="0.3">
      <c r="A100" s="1" t="s">
        <v>253</v>
      </c>
      <c r="B100" s="1" t="s">
        <v>332</v>
      </c>
      <c r="C100" s="1" t="s">
        <v>107</v>
      </c>
      <c r="D100" s="1" t="s">
        <v>326</v>
      </c>
      <c r="E100" s="1" t="s">
        <v>8</v>
      </c>
      <c r="F100" s="1" t="s">
        <v>156</v>
      </c>
      <c r="G100" s="1" t="s">
        <v>167</v>
      </c>
      <c r="H100" s="1"/>
      <c r="I100" s="1"/>
      <c r="J100" s="1"/>
      <c r="K100" s="1"/>
      <c r="L100" s="1" t="s">
        <v>167</v>
      </c>
      <c r="M100">
        <v>120</v>
      </c>
      <c r="N100">
        <v>1</v>
      </c>
      <c r="O100">
        <v>5300</v>
      </c>
      <c r="P100">
        <f>data[[#This Row],[سعر البيع ]]*data[[#This Row],[الكمية]]</f>
        <v>5300</v>
      </c>
      <c r="Q100" s="1" t="s">
        <v>339</v>
      </c>
      <c r="R100" s="2">
        <v>45593</v>
      </c>
      <c r="S100" s="2">
        <v>45607</v>
      </c>
      <c r="T100">
        <v>14</v>
      </c>
      <c r="U100" s="2">
        <v>45617</v>
      </c>
      <c r="V100">
        <v>24</v>
      </c>
      <c r="W100" s="1" t="s">
        <v>199</v>
      </c>
      <c r="X100" s="1" t="s">
        <v>198</v>
      </c>
      <c r="Y100" t="str">
        <f>IF(data[[#This Row],[معاد الانتظار(الفعلي)]]&gt;data[[#This Row],[معاد الانتظار(الهدف)]],"متأخر","في المعاد")</f>
        <v>متأخر</v>
      </c>
    </row>
    <row r="101" spans="1:25" hidden="1" x14ac:dyDescent="0.3">
      <c r="A101" s="1" t="s">
        <v>257</v>
      </c>
      <c r="B101" s="1" t="s">
        <v>332</v>
      </c>
      <c r="C101" s="1" t="s">
        <v>264</v>
      </c>
      <c r="D101" s="1" t="s">
        <v>326</v>
      </c>
      <c r="E101" s="1" t="s">
        <v>8</v>
      </c>
      <c r="F101" s="1" t="s">
        <v>155</v>
      </c>
      <c r="G101" s="1" t="s">
        <v>167</v>
      </c>
      <c r="H101" s="1"/>
      <c r="I101" s="1"/>
      <c r="J101" s="1"/>
      <c r="K101" s="1"/>
      <c r="L101" s="1" t="s">
        <v>167</v>
      </c>
      <c r="M101">
        <v>80</v>
      </c>
      <c r="N101">
        <v>1</v>
      </c>
      <c r="O101">
        <v>12099</v>
      </c>
      <c r="P101">
        <f>data[[#This Row],[سعر البيع ]]*data[[#This Row],[الكمية]]</f>
        <v>12099</v>
      </c>
      <c r="Q101" s="1" t="s">
        <v>16</v>
      </c>
      <c r="R101" s="2">
        <v>45607</v>
      </c>
      <c r="S101" s="2">
        <v>45622</v>
      </c>
      <c r="T101">
        <v>15</v>
      </c>
      <c r="U101" s="2">
        <v>45623</v>
      </c>
      <c r="V101">
        <v>16</v>
      </c>
      <c r="W101" s="1" t="s">
        <v>199</v>
      </c>
      <c r="X101" s="1" t="s">
        <v>198</v>
      </c>
      <c r="Y101" t="str">
        <f>IF(data[[#This Row],[معاد الانتظار(الفعلي)]]&gt;data[[#This Row],[معاد الانتظار(الهدف)]],"متأخر","في المعاد")</f>
        <v>متأخر</v>
      </c>
    </row>
    <row r="102" spans="1:25" hidden="1" x14ac:dyDescent="0.3">
      <c r="A102" s="1" t="s">
        <v>52</v>
      </c>
      <c r="B102" s="1" t="s">
        <v>333</v>
      </c>
      <c r="C102" s="1" t="s">
        <v>224</v>
      </c>
      <c r="D102" s="1"/>
      <c r="E102" s="1" t="s">
        <v>52</v>
      </c>
      <c r="F102" s="1" t="s">
        <v>258</v>
      </c>
      <c r="G102" s="1" t="s">
        <v>207</v>
      </c>
      <c r="H102" s="1" t="s">
        <v>259</v>
      </c>
      <c r="I102" s="1"/>
      <c r="J102" s="1"/>
      <c r="K102" s="1"/>
      <c r="L102" s="1" t="s">
        <v>168</v>
      </c>
      <c r="N102">
        <v>1</v>
      </c>
      <c r="O102">
        <v>15872</v>
      </c>
      <c r="P102">
        <f>data[[#This Row],[سعر البيع ]]*data[[#This Row],[الكمية]]</f>
        <v>15872</v>
      </c>
      <c r="Q102" s="1" t="s">
        <v>16</v>
      </c>
      <c r="R102" s="2">
        <v>45604</v>
      </c>
      <c r="S102" s="2">
        <v>45363</v>
      </c>
      <c r="T102">
        <v>-241</v>
      </c>
      <c r="U102" s="2">
        <v>45610</v>
      </c>
      <c r="V102">
        <v>6</v>
      </c>
      <c r="W102" s="1" t="s">
        <v>199</v>
      </c>
      <c r="X102" s="1" t="s">
        <v>198</v>
      </c>
      <c r="Y102" t="str">
        <f>IF(data[[#This Row],[معاد الانتظار(الفعلي)]]&gt;data[[#This Row],[معاد الانتظار(الهدف)]],"متأخر","في المعاد")</f>
        <v>متأخر</v>
      </c>
    </row>
    <row r="103" spans="1:25" hidden="1" x14ac:dyDescent="0.3">
      <c r="A103" s="1" t="s">
        <v>263</v>
      </c>
      <c r="B103" s="1" t="s">
        <v>332</v>
      </c>
      <c r="C103" s="1" t="s">
        <v>34</v>
      </c>
      <c r="D103" s="1" t="s">
        <v>326</v>
      </c>
      <c r="E103" s="1" t="s">
        <v>263</v>
      </c>
      <c r="F103" s="1" t="s">
        <v>177</v>
      </c>
      <c r="G103" s="1" t="s">
        <v>167</v>
      </c>
      <c r="H103" s="1"/>
      <c r="I103" s="1"/>
      <c r="J103" s="1"/>
      <c r="K103" s="1"/>
      <c r="L103" s="1" t="s">
        <v>167</v>
      </c>
      <c r="M103">
        <v>120</v>
      </c>
      <c r="N103">
        <v>1</v>
      </c>
      <c r="O103">
        <v>4520</v>
      </c>
      <c r="P103">
        <f>data[[#This Row],[سعر البيع ]]*data[[#This Row],[الكمية]]</f>
        <v>4520</v>
      </c>
      <c r="Q103" s="1" t="s">
        <v>85</v>
      </c>
      <c r="R103" s="2">
        <v>45606</v>
      </c>
      <c r="S103" s="2">
        <v>45618</v>
      </c>
      <c r="T103">
        <v>12</v>
      </c>
      <c r="U103" s="2">
        <v>45617</v>
      </c>
      <c r="V103">
        <v>11</v>
      </c>
      <c r="W103" s="1" t="s">
        <v>199</v>
      </c>
      <c r="X103" s="1" t="s">
        <v>198</v>
      </c>
      <c r="Y103" t="str">
        <f>IF(data[[#This Row],[معاد الانتظار(الفعلي)]]&gt;data[[#This Row],[معاد الانتظار(الهدف)]],"متأخر","في المعاد")</f>
        <v>في المعاد</v>
      </c>
    </row>
    <row r="104" spans="1:25" hidden="1" x14ac:dyDescent="0.3">
      <c r="A104" s="1" t="s">
        <v>83</v>
      </c>
      <c r="B104" s="1" t="s">
        <v>333</v>
      </c>
      <c r="C104" s="1" t="s">
        <v>200</v>
      </c>
      <c r="D104" s="1" t="s">
        <v>327</v>
      </c>
      <c r="E104" s="1" t="s">
        <v>83</v>
      </c>
      <c r="F104" s="1" t="s">
        <v>154</v>
      </c>
      <c r="G104" s="1" t="s">
        <v>168</v>
      </c>
      <c r="H104" s="1"/>
      <c r="I104" s="1"/>
      <c r="J104" s="1"/>
      <c r="K104" s="1"/>
      <c r="L104" s="1" t="s">
        <v>168</v>
      </c>
      <c r="M104">
        <v>90</v>
      </c>
      <c r="N104">
        <v>1</v>
      </c>
      <c r="O104">
        <v>5766</v>
      </c>
      <c r="P104">
        <f>data[[#This Row],[سعر البيع ]]*data[[#This Row],[الكمية]]</f>
        <v>5766</v>
      </c>
      <c r="Q104" s="1" t="s">
        <v>85</v>
      </c>
      <c r="R104" s="2">
        <v>45608</v>
      </c>
      <c r="S104" s="2">
        <v>45622</v>
      </c>
      <c r="T104">
        <v>14</v>
      </c>
      <c r="U104" s="2">
        <v>45621</v>
      </c>
      <c r="V104">
        <v>13</v>
      </c>
      <c r="W104" s="1" t="s">
        <v>199</v>
      </c>
      <c r="X104" s="1" t="s">
        <v>198</v>
      </c>
      <c r="Y104" t="str">
        <f>IF(data[[#This Row],[معاد الانتظار(الفعلي)]]&gt;data[[#This Row],[معاد الانتظار(الهدف)]],"متأخر","في المعاد")</f>
        <v>في المعاد</v>
      </c>
    </row>
    <row r="105" spans="1:25" hidden="1" x14ac:dyDescent="0.3">
      <c r="A105" s="1" t="s">
        <v>266</v>
      </c>
      <c r="B105" s="1" t="s">
        <v>332</v>
      </c>
      <c r="C105" s="1" t="s">
        <v>107</v>
      </c>
      <c r="D105" s="1" t="s">
        <v>326</v>
      </c>
      <c r="E105" s="1" t="s">
        <v>8</v>
      </c>
      <c r="F105" s="1" t="s">
        <v>177</v>
      </c>
      <c r="G105" s="1" t="s">
        <v>173</v>
      </c>
      <c r="H105" s="1"/>
      <c r="I105" s="1"/>
      <c r="J105" s="1"/>
      <c r="K105" s="1"/>
      <c r="L105" s="1" t="s">
        <v>173</v>
      </c>
      <c r="M105">
        <v>160</v>
      </c>
      <c r="N105">
        <v>1</v>
      </c>
      <c r="O105">
        <v>11395</v>
      </c>
      <c r="P105">
        <f>data[[#This Row],[سعر البيع ]]*data[[#This Row],[الكمية]]</f>
        <v>11395</v>
      </c>
      <c r="Q105" s="1" t="s">
        <v>16</v>
      </c>
      <c r="R105" s="2">
        <v>45608</v>
      </c>
      <c r="S105" s="2">
        <v>45620</v>
      </c>
      <c r="T105">
        <v>12</v>
      </c>
      <c r="U105" s="2">
        <v>45623</v>
      </c>
      <c r="V105">
        <v>15</v>
      </c>
      <c r="W105" s="1" t="s">
        <v>199</v>
      </c>
      <c r="X105" s="1" t="s">
        <v>198</v>
      </c>
      <c r="Y105" t="str">
        <f>IF(data[[#This Row],[معاد الانتظار(الفعلي)]]&gt;data[[#This Row],[معاد الانتظار(الهدف)]],"متأخر","في المعاد")</f>
        <v>متأخر</v>
      </c>
    </row>
    <row r="106" spans="1:25" hidden="1" x14ac:dyDescent="0.3">
      <c r="A106" s="1" t="s">
        <v>267</v>
      </c>
      <c r="B106" s="1" t="s">
        <v>332</v>
      </c>
      <c r="C106" s="1" t="s">
        <v>34</v>
      </c>
      <c r="D106" s="1" t="s">
        <v>326</v>
      </c>
      <c r="E106" s="1" t="s">
        <v>8</v>
      </c>
      <c r="F106" s="1" t="s">
        <v>268</v>
      </c>
      <c r="G106" s="1" t="s">
        <v>167</v>
      </c>
      <c r="H106" s="1"/>
      <c r="I106" s="1"/>
      <c r="J106" s="1"/>
      <c r="K106" s="1"/>
      <c r="L106" s="1" t="s">
        <v>167</v>
      </c>
      <c r="M106">
        <v>80</v>
      </c>
      <c r="N106">
        <v>1</v>
      </c>
      <c r="O106">
        <v>12919</v>
      </c>
      <c r="P106">
        <f>data[[#This Row],[سعر البيع ]]*data[[#This Row],[الكمية]]</f>
        <v>12919</v>
      </c>
      <c r="Q106" s="1" t="s">
        <v>16</v>
      </c>
      <c r="R106" s="2">
        <v>45610</v>
      </c>
      <c r="S106" s="2">
        <v>45626</v>
      </c>
      <c r="T106">
        <v>16</v>
      </c>
      <c r="U106" s="2">
        <v>45623</v>
      </c>
      <c r="V106">
        <v>13</v>
      </c>
      <c r="W106" s="1" t="s">
        <v>199</v>
      </c>
      <c r="X106" s="1" t="s">
        <v>198</v>
      </c>
      <c r="Y106" t="str">
        <f>IF(data[[#This Row],[معاد الانتظار(الفعلي)]]&gt;data[[#This Row],[معاد الانتظار(الهدف)]],"متأخر","في المعاد")</f>
        <v>في المعاد</v>
      </c>
    </row>
    <row r="107" spans="1:25" hidden="1" x14ac:dyDescent="0.3">
      <c r="A107" s="1" t="s">
        <v>83</v>
      </c>
      <c r="B107" s="1" t="s">
        <v>333</v>
      </c>
      <c r="C107" s="1" t="s">
        <v>200</v>
      </c>
      <c r="D107" s="1" t="s">
        <v>327</v>
      </c>
      <c r="E107" s="1" t="s">
        <v>83</v>
      </c>
      <c r="F107" s="1" t="s">
        <v>152</v>
      </c>
      <c r="G107" s="1" t="s">
        <v>172</v>
      </c>
      <c r="H107" s="1"/>
      <c r="I107" s="1"/>
      <c r="J107" s="1"/>
      <c r="K107" s="1"/>
      <c r="L107" s="1" t="s">
        <v>172</v>
      </c>
      <c r="M107">
        <v>120</v>
      </c>
      <c r="N107">
        <v>1</v>
      </c>
      <c r="O107">
        <v>6376</v>
      </c>
      <c r="P107">
        <f>data[[#This Row],[سعر البيع ]]*data[[#This Row],[الكمية]]</f>
        <v>6376</v>
      </c>
      <c r="Q107" s="1" t="s">
        <v>85</v>
      </c>
      <c r="R107" s="2">
        <v>45610</v>
      </c>
      <c r="S107" s="2">
        <v>45623</v>
      </c>
      <c r="T107">
        <v>13</v>
      </c>
      <c r="U107" s="2">
        <v>45621</v>
      </c>
      <c r="V107">
        <v>11</v>
      </c>
      <c r="W107" s="1" t="s">
        <v>199</v>
      </c>
      <c r="X107" s="1" t="s">
        <v>198</v>
      </c>
      <c r="Y107" t="str">
        <f>IF(data[[#This Row],[معاد الانتظار(الفعلي)]]&gt;data[[#This Row],[معاد الانتظار(الهدف)]],"متأخر","في المعاد")</f>
        <v>في المعاد</v>
      </c>
    </row>
    <row r="108" spans="1:25" hidden="1" x14ac:dyDescent="0.3">
      <c r="A108" s="1" t="s">
        <v>83</v>
      </c>
      <c r="B108" s="1" t="s">
        <v>333</v>
      </c>
      <c r="C108" s="1" t="s">
        <v>272</v>
      </c>
      <c r="D108" s="1"/>
      <c r="E108" s="1" t="s">
        <v>83</v>
      </c>
      <c r="F108" s="1" t="s">
        <v>152</v>
      </c>
      <c r="G108" s="1" t="s">
        <v>168</v>
      </c>
      <c r="H108" s="1"/>
      <c r="I108" s="1"/>
      <c r="J108" s="1"/>
      <c r="K108" s="1"/>
      <c r="L108" s="1" t="s">
        <v>168</v>
      </c>
      <c r="M108">
        <v>90</v>
      </c>
      <c r="N108">
        <v>1</v>
      </c>
      <c r="O108">
        <v>5294</v>
      </c>
      <c r="P108">
        <f>data[[#This Row],[سعر البيع ]]*data[[#This Row],[الكمية]]</f>
        <v>5294</v>
      </c>
      <c r="Q108" s="1" t="s">
        <v>85</v>
      </c>
      <c r="R108" s="2">
        <v>45610</v>
      </c>
      <c r="S108" s="2">
        <v>45623</v>
      </c>
      <c r="T108">
        <v>13</v>
      </c>
      <c r="U108" s="2">
        <v>45621</v>
      </c>
      <c r="V108">
        <v>11</v>
      </c>
      <c r="W108" s="1" t="s">
        <v>199</v>
      </c>
      <c r="X108" s="1" t="s">
        <v>198</v>
      </c>
      <c r="Y108" t="str">
        <f>IF(data[[#This Row],[معاد الانتظار(الفعلي)]]&gt;data[[#This Row],[معاد الانتظار(الهدف)]],"متأخر","في المعاد")</f>
        <v>في المعاد</v>
      </c>
    </row>
    <row r="109" spans="1:25" hidden="1" x14ac:dyDescent="0.3">
      <c r="A109" s="1" t="s">
        <v>275</v>
      </c>
      <c r="B109" s="1" t="s">
        <v>332</v>
      </c>
      <c r="C109" s="1" t="s">
        <v>39</v>
      </c>
      <c r="D109" s="1" t="s">
        <v>322</v>
      </c>
      <c r="E109" s="1" t="s">
        <v>334</v>
      </c>
      <c r="F109" s="1" t="s">
        <v>277</v>
      </c>
      <c r="G109" s="1" t="s">
        <v>167</v>
      </c>
      <c r="H109" s="1"/>
      <c r="I109" s="1"/>
      <c r="J109" s="1"/>
      <c r="K109" s="1"/>
      <c r="L109" s="1" t="s">
        <v>167</v>
      </c>
      <c r="M109">
        <v>80</v>
      </c>
      <c r="N109">
        <v>1</v>
      </c>
      <c r="O109">
        <v>7396</v>
      </c>
      <c r="P109">
        <f>data[[#This Row],[سعر البيع ]]*data[[#This Row],[الكمية]]</f>
        <v>7396</v>
      </c>
      <c r="Q109" s="1" t="s">
        <v>16</v>
      </c>
      <c r="R109" s="2">
        <v>45613</v>
      </c>
      <c r="S109" s="2">
        <v>45624</v>
      </c>
      <c r="T109">
        <v>11</v>
      </c>
      <c r="U109" s="2">
        <v>45622</v>
      </c>
      <c r="V109">
        <v>9</v>
      </c>
      <c r="W109" s="1" t="s">
        <v>199</v>
      </c>
      <c r="X109" s="1" t="s">
        <v>198</v>
      </c>
      <c r="Y109" t="str">
        <f>IF(data[[#This Row],[معاد الانتظار(الفعلي)]]&gt;data[[#This Row],[معاد الانتظار(الهدف)]],"متأخر","في المعاد")</f>
        <v>في المعاد</v>
      </c>
    </row>
    <row r="110" spans="1:25" hidden="1" x14ac:dyDescent="0.3">
      <c r="A110" s="1" t="s">
        <v>131</v>
      </c>
      <c r="B110" s="1" t="s">
        <v>332</v>
      </c>
      <c r="C110" s="1" t="s">
        <v>278</v>
      </c>
      <c r="D110" s="1" t="s">
        <v>322</v>
      </c>
      <c r="E110" s="1" t="s">
        <v>8</v>
      </c>
      <c r="F110" s="1" t="s">
        <v>154</v>
      </c>
      <c r="G110" s="1" t="s">
        <v>168</v>
      </c>
      <c r="H110" s="1"/>
      <c r="I110" s="1"/>
      <c r="J110" s="1"/>
      <c r="K110" s="1"/>
      <c r="L110" s="1" t="s">
        <v>168</v>
      </c>
      <c r="M110">
        <v>90</v>
      </c>
      <c r="N110">
        <v>1</v>
      </c>
      <c r="O110">
        <v>13439</v>
      </c>
      <c r="P110">
        <f>data[[#This Row],[سعر البيع ]]*data[[#This Row],[الكمية]]</f>
        <v>13439</v>
      </c>
      <c r="Q110" s="1" t="s">
        <v>339</v>
      </c>
      <c r="R110" s="2">
        <v>45616</v>
      </c>
      <c r="S110" s="2">
        <v>45631</v>
      </c>
      <c r="T110">
        <v>15</v>
      </c>
      <c r="U110" s="2">
        <v>45622</v>
      </c>
      <c r="V110">
        <v>6</v>
      </c>
      <c r="W110" s="1" t="s">
        <v>199</v>
      </c>
      <c r="X110" s="1" t="s">
        <v>198</v>
      </c>
      <c r="Y110" t="str">
        <f>IF(data[[#This Row],[معاد الانتظار(الفعلي)]]&gt;data[[#This Row],[معاد الانتظار(الهدف)]],"متأخر","في المعاد")</f>
        <v>في المعاد</v>
      </c>
    </row>
    <row r="111" spans="1:25" hidden="1" x14ac:dyDescent="0.3">
      <c r="A111" s="1" t="s">
        <v>41</v>
      </c>
      <c r="B111" s="1" t="s">
        <v>333</v>
      </c>
      <c r="C111" s="1" t="s">
        <v>46</v>
      </c>
      <c r="D111" s="1" t="s">
        <v>326</v>
      </c>
      <c r="E111" s="1" t="s">
        <v>43</v>
      </c>
      <c r="F111" s="1" t="s">
        <v>280</v>
      </c>
      <c r="G111" s="1" t="s">
        <v>168</v>
      </c>
      <c r="H111" s="1"/>
      <c r="I111" s="1"/>
      <c r="J111" s="1"/>
      <c r="K111" s="1"/>
      <c r="L111" s="1" t="s">
        <v>168</v>
      </c>
      <c r="M111">
        <v>160</v>
      </c>
      <c r="N111">
        <v>1</v>
      </c>
      <c r="O111">
        <v>5100</v>
      </c>
      <c r="P111">
        <f>data[[#This Row],[سعر البيع ]]*data[[#This Row],[الكمية]]</f>
        <v>5100</v>
      </c>
      <c r="Q111" s="1" t="s">
        <v>85</v>
      </c>
      <c r="R111" s="2">
        <v>45610</v>
      </c>
      <c r="S111" s="2">
        <v>45634</v>
      </c>
      <c r="T111">
        <v>24</v>
      </c>
      <c r="U111" s="2"/>
      <c r="V111">
        <v>0</v>
      </c>
      <c r="W111" s="1"/>
      <c r="X111" s="1"/>
      <c r="Y111" t="str">
        <f>IF(data[[#This Row],[معاد الانتظار(الفعلي)]]&gt;data[[#This Row],[معاد الانتظار(الهدف)]],"متأخر","في المعاد")</f>
        <v>في المعاد</v>
      </c>
    </row>
    <row r="112" spans="1:25" hidden="1" x14ac:dyDescent="0.3">
      <c r="A112" s="1" t="s">
        <v>281</v>
      </c>
      <c r="B112" s="1" t="s">
        <v>332</v>
      </c>
      <c r="C112" s="1" t="s">
        <v>49</v>
      </c>
      <c r="D112" s="1" t="s">
        <v>326</v>
      </c>
      <c r="E112" s="1" t="s">
        <v>282</v>
      </c>
      <c r="F112" s="1" t="s">
        <v>283</v>
      </c>
      <c r="G112" s="1" t="s">
        <v>176</v>
      </c>
      <c r="H112" s="1" t="s">
        <v>167</v>
      </c>
      <c r="I112" s="1"/>
      <c r="J112" s="1"/>
      <c r="K112" s="1"/>
      <c r="L112" s="1" t="s">
        <v>176</v>
      </c>
      <c r="M112">
        <v>160</v>
      </c>
      <c r="N112">
        <v>1</v>
      </c>
      <c r="O112">
        <v>6000</v>
      </c>
      <c r="P112">
        <f>data[[#This Row],[سعر البيع ]]*data[[#This Row],[الكمية]]</f>
        <v>6000</v>
      </c>
      <c r="Q112" s="1" t="s">
        <v>339</v>
      </c>
      <c r="R112" s="2">
        <v>45618</v>
      </c>
      <c r="S112" s="2">
        <v>45628</v>
      </c>
      <c r="T112">
        <v>10</v>
      </c>
      <c r="U112" s="2">
        <v>45623</v>
      </c>
      <c r="V112">
        <v>5</v>
      </c>
      <c r="W112" s="1" t="s">
        <v>199</v>
      </c>
      <c r="X112" s="1" t="s">
        <v>198</v>
      </c>
      <c r="Y112" t="str">
        <f>IF(data[[#This Row],[معاد الانتظار(الفعلي)]]&gt;data[[#This Row],[معاد الانتظار(الهدف)]],"متأخر","في المعاد")</f>
        <v>في المعاد</v>
      </c>
    </row>
    <row r="113" spans="1:25" hidden="1" x14ac:dyDescent="0.3">
      <c r="A113" s="1" t="s">
        <v>285</v>
      </c>
      <c r="B113" s="1" t="s">
        <v>332</v>
      </c>
      <c r="C113" s="1" t="s">
        <v>286</v>
      </c>
      <c r="D113" s="1"/>
      <c r="E113" s="1" t="s">
        <v>8</v>
      </c>
      <c r="F113" s="1" t="s">
        <v>287</v>
      </c>
      <c r="G113" s="1" t="s">
        <v>172</v>
      </c>
      <c r="H113" s="1"/>
      <c r="I113" s="1"/>
      <c r="J113" s="1"/>
      <c r="K113" s="1"/>
      <c r="L113" s="1" t="s">
        <v>172</v>
      </c>
      <c r="M113">
        <v>120</v>
      </c>
      <c r="N113">
        <v>1</v>
      </c>
      <c r="O113">
        <v>10885</v>
      </c>
      <c r="P113">
        <f>data[[#This Row],[سعر البيع ]]*data[[#This Row],[الكمية]]</f>
        <v>10885</v>
      </c>
      <c r="Q113" s="1" t="s">
        <v>339</v>
      </c>
      <c r="R113" s="2">
        <v>45620</v>
      </c>
      <c r="S113" s="2">
        <v>45631</v>
      </c>
      <c r="T113">
        <v>11</v>
      </c>
      <c r="U113" s="2">
        <v>45636</v>
      </c>
      <c r="V113">
        <v>16</v>
      </c>
      <c r="W113" s="1" t="s">
        <v>199</v>
      </c>
      <c r="X113" s="1" t="s">
        <v>198</v>
      </c>
      <c r="Y113" t="str">
        <f>IF(data[[#This Row],[معاد الانتظار(الفعلي)]]&gt;data[[#This Row],[معاد الانتظار(الهدف)]],"متأخر","في المعاد")</f>
        <v>متأخر</v>
      </c>
    </row>
    <row r="114" spans="1:25" hidden="1" x14ac:dyDescent="0.3">
      <c r="A114" s="1" t="s">
        <v>41</v>
      </c>
      <c r="B114" s="1" t="s">
        <v>333</v>
      </c>
      <c r="C114" s="1" t="s">
        <v>46</v>
      </c>
      <c r="D114" s="1" t="s">
        <v>326</v>
      </c>
      <c r="E114" s="1" t="s">
        <v>43</v>
      </c>
      <c r="F114" s="1" t="s">
        <v>288</v>
      </c>
      <c r="G114" s="1"/>
      <c r="H114" s="1"/>
      <c r="I114" s="1"/>
      <c r="J114" s="1"/>
      <c r="K114" s="1"/>
      <c r="L114" s="1"/>
      <c r="N114">
        <v>1</v>
      </c>
      <c r="O114">
        <v>6000</v>
      </c>
      <c r="P114">
        <f>data[[#This Row],[سعر البيع ]]*data[[#This Row],[الكمية]]</f>
        <v>6000</v>
      </c>
      <c r="Q114" s="1" t="s">
        <v>339</v>
      </c>
      <c r="R114" s="2">
        <v>45615</v>
      </c>
      <c r="S114" s="2">
        <v>45631</v>
      </c>
      <c r="T114">
        <v>16</v>
      </c>
      <c r="U114" s="2">
        <v>45616</v>
      </c>
      <c r="V114">
        <v>1</v>
      </c>
      <c r="W114" s="1" t="s">
        <v>289</v>
      </c>
      <c r="X114" s="1" t="s">
        <v>198</v>
      </c>
      <c r="Y114" t="str">
        <f>IF(data[[#This Row],[معاد الانتظار(الفعلي)]]&gt;data[[#This Row],[معاد الانتظار(الهدف)]],"متأخر","في المعاد")</f>
        <v>في المعاد</v>
      </c>
    </row>
    <row r="115" spans="1:25" hidden="1" x14ac:dyDescent="0.3">
      <c r="A115" s="1" t="s">
        <v>290</v>
      </c>
      <c r="B115" s="1" t="s">
        <v>332</v>
      </c>
      <c r="C115" s="1" t="s">
        <v>291</v>
      </c>
      <c r="D115" s="1" t="s">
        <v>323</v>
      </c>
      <c r="E115" s="1" t="s">
        <v>8</v>
      </c>
      <c r="F115" s="1" t="s">
        <v>293</v>
      </c>
      <c r="G115" s="1"/>
      <c r="H115" s="1"/>
      <c r="I115" s="1"/>
      <c r="J115" s="1"/>
      <c r="K115" s="1"/>
      <c r="L115" s="1"/>
      <c r="N115">
        <v>1</v>
      </c>
      <c r="O115">
        <v>8449</v>
      </c>
      <c r="P115">
        <f>data[[#This Row],[سعر البيع ]]*data[[#This Row],[الكمية]]</f>
        <v>8449</v>
      </c>
      <c r="Q115" s="1" t="s">
        <v>16</v>
      </c>
      <c r="R115" s="2">
        <v>45623</v>
      </c>
      <c r="S115" s="2">
        <v>45636</v>
      </c>
      <c r="T115">
        <v>13</v>
      </c>
      <c r="U115" s="2">
        <v>45649</v>
      </c>
      <c r="V115">
        <v>26</v>
      </c>
      <c r="W115" s="1" t="s">
        <v>28</v>
      </c>
      <c r="X115" s="1" t="s">
        <v>198</v>
      </c>
      <c r="Y115" t="str">
        <f>IF(data[[#This Row],[معاد الانتظار(الفعلي)]]&gt;data[[#This Row],[معاد الانتظار(الهدف)]],"متأخر","في المعاد")</f>
        <v>متأخر</v>
      </c>
    </row>
    <row r="116" spans="1:25" hidden="1" x14ac:dyDescent="0.3">
      <c r="A116" s="1" t="s">
        <v>294</v>
      </c>
      <c r="B116" s="1" t="s">
        <v>332</v>
      </c>
      <c r="C116" s="1" t="s">
        <v>59</v>
      </c>
      <c r="D116" s="1" t="s">
        <v>326</v>
      </c>
      <c r="E116" s="1" t="s">
        <v>8</v>
      </c>
      <c r="F116" s="1" t="s">
        <v>296</v>
      </c>
      <c r="G116" s="1" t="s">
        <v>167</v>
      </c>
      <c r="H116" s="1" t="s">
        <v>297</v>
      </c>
      <c r="I116" s="1"/>
      <c r="J116" s="1"/>
      <c r="K116" s="1"/>
      <c r="L116" s="1" t="s">
        <v>167</v>
      </c>
      <c r="N116">
        <v>1</v>
      </c>
      <c r="O116">
        <v>10249</v>
      </c>
      <c r="P116">
        <f>data[[#This Row],[سعر البيع ]]*data[[#This Row],[الكمية]]</f>
        <v>10249</v>
      </c>
      <c r="Q116" s="1" t="s">
        <v>339</v>
      </c>
      <c r="R116" s="2">
        <v>45623</v>
      </c>
      <c r="S116" s="2">
        <v>45636</v>
      </c>
      <c r="T116">
        <v>13</v>
      </c>
      <c r="U116" s="2">
        <v>45645</v>
      </c>
      <c r="V116">
        <v>22</v>
      </c>
      <c r="W116" s="1" t="s">
        <v>199</v>
      </c>
      <c r="X116" s="1" t="s">
        <v>198</v>
      </c>
      <c r="Y116" t="str">
        <f>IF(data[[#This Row],[معاد الانتظار(الفعلي)]]&gt;data[[#This Row],[معاد الانتظار(الهدف)]],"متأخر","في المعاد")</f>
        <v>متأخر</v>
      </c>
    </row>
    <row r="117" spans="1:25" hidden="1" x14ac:dyDescent="0.3">
      <c r="A117" s="1" t="s">
        <v>298</v>
      </c>
      <c r="B117" s="1" t="s">
        <v>332</v>
      </c>
      <c r="C117" s="1" t="s">
        <v>299</v>
      </c>
      <c r="D117" s="1" t="s">
        <v>323</v>
      </c>
      <c r="E117" s="1" t="s">
        <v>8</v>
      </c>
      <c r="F117" s="1" t="s">
        <v>155</v>
      </c>
      <c r="G117" s="1" t="s">
        <v>168</v>
      </c>
      <c r="H117" s="1"/>
      <c r="I117" s="1"/>
      <c r="J117" s="1"/>
      <c r="K117" s="1"/>
      <c r="L117" s="1" t="s">
        <v>168</v>
      </c>
      <c r="M117">
        <v>100</v>
      </c>
      <c r="N117">
        <v>1</v>
      </c>
      <c r="O117">
        <v>14905</v>
      </c>
      <c r="P117">
        <f>data[[#This Row],[سعر البيع ]]*data[[#This Row],[الكمية]]</f>
        <v>14905</v>
      </c>
      <c r="Q117" s="1" t="s">
        <v>16</v>
      </c>
      <c r="R117" s="2">
        <v>45625</v>
      </c>
      <c r="S117" s="2">
        <v>45641</v>
      </c>
      <c r="T117">
        <v>16</v>
      </c>
      <c r="U117" s="2"/>
      <c r="V117">
        <v>0</v>
      </c>
      <c r="W117" s="1"/>
      <c r="X117" s="1" t="s">
        <v>192</v>
      </c>
      <c r="Y117" t="str">
        <f>IF(data[[#This Row],[معاد الانتظار(الفعلي)]]&gt;data[[#This Row],[معاد الانتظار(الهدف)]],"متأخر","في المعاد")</f>
        <v>في المعاد</v>
      </c>
    </row>
    <row r="118" spans="1:25" hidden="1" x14ac:dyDescent="0.3">
      <c r="A118" s="1" t="s">
        <v>300</v>
      </c>
      <c r="B118" s="1" t="s">
        <v>332</v>
      </c>
      <c r="C118" s="1" t="s">
        <v>67</v>
      </c>
      <c r="D118" s="1" t="s">
        <v>326</v>
      </c>
      <c r="E118" s="1" t="s">
        <v>8</v>
      </c>
      <c r="F118" s="1" t="s">
        <v>296</v>
      </c>
      <c r="G118" s="1" t="s">
        <v>207</v>
      </c>
      <c r="H118" s="1" t="s">
        <v>302</v>
      </c>
      <c r="I118" s="1"/>
      <c r="J118" s="1"/>
      <c r="K118" s="1"/>
      <c r="L118" s="1" t="s">
        <v>168</v>
      </c>
      <c r="N118">
        <v>1</v>
      </c>
      <c r="O118">
        <v>10249</v>
      </c>
      <c r="P118">
        <f>data[[#This Row],[سعر البيع ]]*data[[#This Row],[الكمية]]</f>
        <v>10249</v>
      </c>
      <c r="Q118" s="1" t="s">
        <v>16</v>
      </c>
      <c r="R118" s="2">
        <v>45626</v>
      </c>
      <c r="S118" s="2">
        <v>45638</v>
      </c>
      <c r="T118">
        <v>12</v>
      </c>
      <c r="U118" s="2"/>
      <c r="V118">
        <v>0</v>
      </c>
      <c r="W118" s="1"/>
      <c r="X118" s="1" t="s">
        <v>192</v>
      </c>
      <c r="Y118" t="str">
        <f>IF(data[[#This Row],[معاد الانتظار(الفعلي)]]&gt;data[[#This Row],[معاد الانتظار(الهدف)]],"متأخر","في المعاد")</f>
        <v>في المعاد</v>
      </c>
    </row>
    <row r="119" spans="1:25" hidden="1" x14ac:dyDescent="0.3">
      <c r="A119" s="1" t="s">
        <v>303</v>
      </c>
      <c r="B119" s="1" t="s">
        <v>332</v>
      </c>
      <c r="C119" s="1" t="s">
        <v>67</v>
      </c>
      <c r="D119" s="1" t="s">
        <v>326</v>
      </c>
      <c r="E119" s="1" t="s">
        <v>8</v>
      </c>
      <c r="F119" s="1"/>
      <c r="G119" s="1" t="s">
        <v>168</v>
      </c>
      <c r="H119" s="1" t="s">
        <v>302</v>
      </c>
      <c r="I119" s="1"/>
      <c r="J119" s="1"/>
      <c r="K119" s="1"/>
      <c r="L119" s="1" t="s">
        <v>168</v>
      </c>
      <c r="N119">
        <v>1</v>
      </c>
      <c r="O119">
        <v>9029</v>
      </c>
      <c r="P119">
        <f>data[[#This Row],[سعر البيع ]]*data[[#This Row],[الكمية]]</f>
        <v>9029</v>
      </c>
      <c r="Q119" s="1" t="s">
        <v>16</v>
      </c>
      <c r="R119" s="2">
        <v>45626</v>
      </c>
      <c r="S119" s="2">
        <v>45638</v>
      </c>
      <c r="T119">
        <v>12</v>
      </c>
      <c r="U119" s="2"/>
      <c r="V119">
        <v>0</v>
      </c>
      <c r="W119" s="1"/>
      <c r="X119" s="1" t="s">
        <v>192</v>
      </c>
      <c r="Y119" t="str">
        <f>IF(data[[#This Row],[معاد الانتظار(الفعلي)]]&gt;data[[#This Row],[معاد الانتظار(الهدف)]],"متأخر","في المعاد")</f>
        <v>في المعاد</v>
      </c>
    </row>
    <row r="120" spans="1:25" hidden="1" x14ac:dyDescent="0.3">
      <c r="A120" s="1" t="s">
        <v>306</v>
      </c>
      <c r="B120" s="1" t="s">
        <v>332</v>
      </c>
      <c r="C120" s="1" t="s">
        <v>144</v>
      </c>
      <c r="D120" s="1" t="s">
        <v>212</v>
      </c>
      <c r="E120" s="1" t="s">
        <v>8</v>
      </c>
      <c r="F120" s="1"/>
      <c r="G120" s="1" t="s">
        <v>207</v>
      </c>
      <c r="H120" s="1" t="s">
        <v>218</v>
      </c>
      <c r="I120" s="1"/>
      <c r="J120" s="1"/>
      <c r="K120" s="1"/>
      <c r="L120" s="1" t="s">
        <v>168</v>
      </c>
      <c r="N120">
        <v>1</v>
      </c>
      <c r="O120">
        <v>9029</v>
      </c>
      <c r="P120">
        <f>data[[#This Row],[سعر البيع ]]*data[[#This Row],[الكمية]]</f>
        <v>9029</v>
      </c>
      <c r="Q120" s="1" t="s">
        <v>16</v>
      </c>
      <c r="R120" s="2">
        <v>45626</v>
      </c>
      <c r="S120" s="2">
        <v>45638</v>
      </c>
      <c r="T120">
        <v>12</v>
      </c>
      <c r="U120" s="2"/>
      <c r="V120">
        <v>0</v>
      </c>
      <c r="W120" s="1"/>
      <c r="X120" s="1"/>
      <c r="Y120" t="str">
        <f>IF(data[[#This Row],[معاد الانتظار(الفعلي)]]&gt;data[[#This Row],[معاد الانتظار(الهدف)]],"متأخر","في المعاد")</f>
        <v>في المعاد</v>
      </c>
    </row>
    <row r="121" spans="1:25" hidden="1" x14ac:dyDescent="0.3">
      <c r="A121" s="1" t="s">
        <v>309</v>
      </c>
      <c r="B121" s="1" t="s">
        <v>332</v>
      </c>
      <c r="C121" s="1" t="s">
        <v>310</v>
      </c>
      <c r="D121" s="1" t="s">
        <v>326</v>
      </c>
      <c r="E121" s="1" t="s">
        <v>8</v>
      </c>
      <c r="F121" s="1" t="s">
        <v>152</v>
      </c>
      <c r="G121" s="1" t="s">
        <v>167</v>
      </c>
      <c r="H121" s="1"/>
      <c r="I121" s="1"/>
      <c r="J121" s="1"/>
      <c r="K121" s="1"/>
      <c r="L121" s="1" t="s">
        <v>167</v>
      </c>
      <c r="M121">
        <v>80</v>
      </c>
      <c r="N121">
        <v>1</v>
      </c>
      <c r="O121">
        <v>12099</v>
      </c>
      <c r="P121">
        <f>data[[#This Row],[سعر البيع ]]*data[[#This Row],[الكمية]]</f>
        <v>12099</v>
      </c>
      <c r="Q121" s="1" t="s">
        <v>16</v>
      </c>
      <c r="R121" s="2">
        <v>45628</v>
      </c>
      <c r="S121" s="2">
        <v>45643</v>
      </c>
      <c r="T121">
        <v>15</v>
      </c>
      <c r="U121" s="2"/>
      <c r="V121">
        <v>0</v>
      </c>
      <c r="W121" s="1"/>
      <c r="X121" s="1" t="s">
        <v>192</v>
      </c>
      <c r="Y121" t="str">
        <f>IF(data[[#This Row],[معاد الانتظار(الفعلي)]]&gt;data[[#This Row],[معاد الانتظار(الهدف)]],"متأخر","في المعاد")</f>
        <v>في المعاد</v>
      </c>
    </row>
    <row r="122" spans="1:25" hidden="1" x14ac:dyDescent="0.3">
      <c r="A122" s="1" t="s">
        <v>83</v>
      </c>
      <c r="B122" s="1" t="s">
        <v>333</v>
      </c>
      <c r="C122" s="1" t="s">
        <v>200</v>
      </c>
      <c r="D122" s="1" t="s">
        <v>327</v>
      </c>
      <c r="E122" s="1" t="s">
        <v>83</v>
      </c>
      <c r="F122" s="1" t="s">
        <v>277</v>
      </c>
      <c r="G122" s="1" t="s">
        <v>170</v>
      </c>
      <c r="H122" s="1"/>
      <c r="I122" s="1"/>
      <c r="J122" s="1"/>
      <c r="K122" s="1"/>
      <c r="L122" s="1" t="s">
        <v>170</v>
      </c>
      <c r="M122">
        <v>90</v>
      </c>
      <c r="N122">
        <v>1</v>
      </c>
      <c r="O122">
        <v>5217</v>
      </c>
      <c r="P122">
        <f>data[[#This Row],[سعر البيع ]]*data[[#This Row],[الكمية]]</f>
        <v>5217</v>
      </c>
      <c r="Q122" s="1" t="s">
        <v>85</v>
      </c>
      <c r="R122" s="2">
        <v>45627</v>
      </c>
      <c r="S122" s="2">
        <v>45640</v>
      </c>
      <c r="T122">
        <v>13</v>
      </c>
      <c r="U122" s="2">
        <v>45636</v>
      </c>
      <c r="V122">
        <v>9</v>
      </c>
      <c r="W122" s="1" t="s">
        <v>199</v>
      </c>
      <c r="X122" s="1" t="s">
        <v>198</v>
      </c>
      <c r="Y122" t="str">
        <f>IF(data[[#This Row],[معاد الانتظار(الفعلي)]]&gt;data[[#This Row],[معاد الانتظار(الهدف)]],"متأخر","في المعاد")</f>
        <v>في المعاد</v>
      </c>
    </row>
    <row r="123" spans="1:25" hidden="1" x14ac:dyDescent="0.3">
      <c r="A123" s="1" t="s">
        <v>312</v>
      </c>
      <c r="B123" s="1" t="s">
        <v>332</v>
      </c>
      <c r="C123" s="1" t="s">
        <v>135</v>
      </c>
      <c r="D123" s="1" t="s">
        <v>327</v>
      </c>
      <c r="E123" s="1" t="s">
        <v>8</v>
      </c>
      <c r="F123" s="1"/>
      <c r="G123" s="1" t="s">
        <v>168</v>
      </c>
      <c r="H123" s="1" t="s">
        <v>168</v>
      </c>
      <c r="I123" s="1"/>
      <c r="J123" s="1"/>
      <c r="K123" s="1"/>
      <c r="L123" s="1" t="s">
        <v>168</v>
      </c>
      <c r="N123">
        <v>1</v>
      </c>
      <c r="O123">
        <v>10249</v>
      </c>
      <c r="P123">
        <f>data[[#This Row],[سعر البيع ]]*data[[#This Row],[الكمية]]</f>
        <v>10249</v>
      </c>
      <c r="Q123" s="1" t="s">
        <v>339</v>
      </c>
      <c r="R123" s="2">
        <v>45630</v>
      </c>
      <c r="S123" s="2">
        <v>45640</v>
      </c>
      <c r="T123">
        <v>10</v>
      </c>
      <c r="U123" s="2">
        <v>45645</v>
      </c>
      <c r="V123">
        <v>15</v>
      </c>
      <c r="W123" s="1" t="s">
        <v>199</v>
      </c>
      <c r="X123" s="1" t="s">
        <v>198</v>
      </c>
      <c r="Y123" t="str">
        <f>IF(data[[#This Row],[معاد الانتظار(الفعلي)]]&gt;data[[#This Row],[معاد الانتظار(الهدف)]],"متأخر","في المعاد")</f>
        <v>متأخر</v>
      </c>
    </row>
    <row r="124" spans="1:25" hidden="1" x14ac:dyDescent="0.3">
      <c r="A124" s="1" t="s">
        <v>313</v>
      </c>
      <c r="B124" s="1" t="s">
        <v>332</v>
      </c>
      <c r="C124" s="1" t="s">
        <v>314</v>
      </c>
      <c r="D124" s="1" t="s">
        <v>326</v>
      </c>
      <c r="E124" s="1" t="s">
        <v>52</v>
      </c>
      <c r="F124" s="1" t="s">
        <v>154</v>
      </c>
      <c r="G124" s="1" t="s">
        <v>168</v>
      </c>
      <c r="H124" s="1"/>
      <c r="I124" s="1"/>
      <c r="J124" s="1"/>
      <c r="K124" s="1"/>
      <c r="L124" s="1" t="s">
        <v>168</v>
      </c>
      <c r="N124">
        <v>1</v>
      </c>
      <c r="O124">
        <v>10445</v>
      </c>
      <c r="P124">
        <f>data[[#This Row],[سعر البيع ]]*data[[#This Row],[الكمية]]</f>
        <v>10445</v>
      </c>
      <c r="Q124" s="1" t="s">
        <v>339</v>
      </c>
      <c r="R124" s="2">
        <v>45635</v>
      </c>
      <c r="S124" s="2">
        <v>45657</v>
      </c>
      <c r="T124">
        <v>22</v>
      </c>
      <c r="U124" s="2">
        <v>45638</v>
      </c>
      <c r="V124">
        <v>3</v>
      </c>
      <c r="W124" s="1" t="s">
        <v>199</v>
      </c>
      <c r="X124" s="1" t="s">
        <v>198</v>
      </c>
      <c r="Y124" t="str">
        <f>IF(data[[#This Row],[معاد الانتظار(الفعلي)]]&gt;data[[#This Row],[معاد الانتظار(الهدف)]],"متأخر","في المعاد")</f>
        <v>في المعاد</v>
      </c>
    </row>
    <row r="125" spans="1:25" hidden="1" x14ac:dyDescent="0.3">
      <c r="A125" s="1" t="s">
        <v>315</v>
      </c>
      <c r="B125" s="1" t="s">
        <v>332</v>
      </c>
      <c r="C125" s="1" t="s">
        <v>67</v>
      </c>
      <c r="D125" s="1" t="s">
        <v>326</v>
      </c>
      <c r="E125" s="1" t="s">
        <v>8</v>
      </c>
      <c r="F125" s="1" t="s">
        <v>296</v>
      </c>
      <c r="G125" s="1" t="s">
        <v>207</v>
      </c>
      <c r="H125" s="1" t="s">
        <v>302</v>
      </c>
      <c r="I125" s="1"/>
      <c r="J125" s="1"/>
      <c r="K125" s="1"/>
      <c r="L125" s="1" t="s">
        <v>168</v>
      </c>
      <c r="N125">
        <v>1</v>
      </c>
      <c r="O125">
        <v>11199</v>
      </c>
      <c r="P125">
        <f>data[[#This Row],[سعر البيع ]]*data[[#This Row],[الكمية]]</f>
        <v>11199</v>
      </c>
      <c r="Q125" s="1" t="s">
        <v>339</v>
      </c>
      <c r="R125" s="2">
        <v>45638</v>
      </c>
      <c r="S125" s="2">
        <v>45650</v>
      </c>
      <c r="T125">
        <v>12</v>
      </c>
      <c r="U125" s="2">
        <v>45645</v>
      </c>
      <c r="V125">
        <v>7</v>
      </c>
      <c r="W125" s="1" t="s">
        <v>199</v>
      </c>
      <c r="X125" s="1" t="s">
        <v>198</v>
      </c>
      <c r="Y125" t="str">
        <f>IF(data[[#This Row],[معاد الانتظار(الفعلي)]]&gt;data[[#This Row],[معاد الانتظار(الهدف)]],"متأخر","في المعاد")</f>
        <v>في المعاد</v>
      </c>
    </row>
    <row r="126" spans="1:25" hidden="1" x14ac:dyDescent="0.3">
      <c r="A126" s="1" t="s">
        <v>317</v>
      </c>
      <c r="B126" s="1" t="s">
        <v>332</v>
      </c>
      <c r="C126" s="1" t="s">
        <v>278</v>
      </c>
      <c r="D126" s="1" t="s">
        <v>322</v>
      </c>
      <c r="E126" s="1" t="s">
        <v>8</v>
      </c>
      <c r="F126" s="1" t="s">
        <v>152</v>
      </c>
      <c r="G126" s="1" t="s">
        <v>168</v>
      </c>
      <c r="H126" s="1"/>
      <c r="I126" s="1"/>
      <c r="J126" s="1"/>
      <c r="K126" s="1"/>
      <c r="L126" s="1" t="s">
        <v>168</v>
      </c>
      <c r="M126">
        <v>80</v>
      </c>
      <c r="N126">
        <v>1</v>
      </c>
      <c r="O126">
        <v>13099</v>
      </c>
      <c r="P126">
        <f>data[[#This Row],[سعر البيع ]]*data[[#This Row],[الكمية]]</f>
        <v>13099</v>
      </c>
      <c r="Q126" s="1" t="s">
        <v>339</v>
      </c>
      <c r="R126" s="2">
        <v>45638</v>
      </c>
      <c r="S126" s="2">
        <v>45654</v>
      </c>
      <c r="T126">
        <v>16</v>
      </c>
      <c r="U126" s="2">
        <v>45655</v>
      </c>
      <c r="V126">
        <v>17</v>
      </c>
      <c r="W126" s="1" t="s">
        <v>199</v>
      </c>
      <c r="X126" s="1" t="s">
        <v>198</v>
      </c>
      <c r="Y126" t="str">
        <f>IF(data[[#This Row],[معاد الانتظار(الفعلي)]]&gt;data[[#This Row],[معاد الانتظار(الهدف)]],"متأخر","في المعاد")</f>
        <v>متأخر</v>
      </c>
    </row>
    <row r="127" spans="1:25" hidden="1" x14ac:dyDescent="0.3">
      <c r="A127" s="1" t="s">
        <v>52</v>
      </c>
      <c r="B127" s="1" t="s">
        <v>333</v>
      </c>
      <c r="C127" s="1" t="s">
        <v>224</v>
      </c>
      <c r="D127" s="1"/>
      <c r="E127" s="1" t="s">
        <v>52</v>
      </c>
      <c r="F127" s="1" t="s">
        <v>258</v>
      </c>
      <c r="G127" s="1" t="s">
        <v>207</v>
      </c>
      <c r="H127" s="1" t="s">
        <v>318</v>
      </c>
      <c r="I127" s="1"/>
      <c r="J127" s="1"/>
      <c r="K127" s="1"/>
      <c r="L127" s="1" t="s">
        <v>168</v>
      </c>
      <c r="N127">
        <v>1</v>
      </c>
      <c r="O127">
        <v>8700</v>
      </c>
      <c r="P127">
        <f>data[[#This Row],[سعر البيع ]]*data[[#This Row],[الكمية]]</f>
        <v>8700</v>
      </c>
      <c r="Q127" s="1" t="s">
        <v>85</v>
      </c>
      <c r="R127" s="2">
        <v>45640</v>
      </c>
      <c r="S127" s="2">
        <v>45662</v>
      </c>
      <c r="T127">
        <v>22</v>
      </c>
      <c r="U127" s="2">
        <v>45655</v>
      </c>
      <c r="V127">
        <v>15</v>
      </c>
      <c r="W127" s="1" t="s">
        <v>199</v>
      </c>
      <c r="X127" s="1" t="s">
        <v>198</v>
      </c>
      <c r="Y127" t="str">
        <f>IF(data[[#This Row],[معاد الانتظار(الفعلي)]]&gt;data[[#This Row],[معاد الانتظار(الهدف)]],"متأخر","في المعاد")</f>
        <v>في المعاد</v>
      </c>
    </row>
    <row r="128" spans="1:25" hidden="1" x14ac:dyDescent="0.3">
      <c r="A128" s="1"/>
      <c r="B128" s="1"/>
      <c r="C128" s="1"/>
      <c r="D128" s="1"/>
      <c r="E128" s="1"/>
      <c r="F128" s="1"/>
      <c r="G128" s="1"/>
      <c r="H128" s="1"/>
      <c r="I128" s="1"/>
      <c r="J128" s="1"/>
      <c r="K128" s="1"/>
      <c r="L128" s="1"/>
      <c r="Q128" s="1"/>
      <c r="R128" s="2"/>
      <c r="S128" s="2"/>
      <c r="U128" s="2"/>
      <c r="W128" s="1"/>
      <c r="X128" s="1"/>
      <c r="Y128" s="1" t="str">
        <f>IF(data[[#This Row],[معاد الانتظار(الفعلي)]]&gt;data[[#This Row],[معاد الانتظار(الهدف)]],"متأخر","في المعاد")</f>
        <v>في المعاد</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8214-975B-4EFA-B5F6-DCC184FB9DCC}">
  <dimension ref="A1:U127"/>
  <sheetViews>
    <sheetView topLeftCell="C1" zoomScale="64" workbookViewId="0">
      <selection activeCell="E54" sqref="E54"/>
    </sheetView>
  </sheetViews>
  <sheetFormatPr defaultRowHeight="14.4" x14ac:dyDescent="0.3"/>
  <cols>
    <col min="1" max="1" width="23.109375" customWidth="1"/>
    <col min="2" max="2" width="10" bestFit="1" customWidth="1"/>
    <col min="3" max="3" width="8.44140625" bestFit="1" customWidth="1"/>
    <col min="4" max="4" width="15.44140625" bestFit="1" customWidth="1"/>
    <col min="5" max="5" width="30" bestFit="1" customWidth="1"/>
    <col min="6" max="6" width="23" bestFit="1" customWidth="1"/>
    <col min="7" max="7" width="11.5546875" bestFit="1" customWidth="1"/>
    <col min="8" max="9" width="10.77734375" bestFit="1" customWidth="1"/>
    <col min="10" max="10" width="7.109375" bestFit="1" customWidth="1"/>
    <col min="11" max="11" width="7.6640625" bestFit="1" customWidth="1"/>
    <col min="12" max="12" width="9.44140625" bestFit="1" customWidth="1"/>
    <col min="13" max="13" width="12.44140625" bestFit="1" customWidth="1"/>
    <col min="14" max="14" width="34.44140625" bestFit="1" customWidth="1"/>
    <col min="15" max="15" width="12.6640625" bestFit="1" customWidth="1"/>
    <col min="16" max="16" width="9.77734375" bestFit="1" customWidth="1"/>
    <col min="17" max="17" width="9.5546875" bestFit="1" customWidth="1"/>
    <col min="18" max="18" width="10.21875" bestFit="1" customWidth="1"/>
    <col min="19" max="19" width="22.77734375" bestFit="1" customWidth="1"/>
    <col min="20" max="20" width="26.77734375" bestFit="1" customWidth="1"/>
    <col min="21" max="21" width="9.44140625" bestFit="1" customWidth="1"/>
  </cols>
  <sheetData>
    <row r="1" spans="1:21" x14ac:dyDescent="0.3">
      <c r="A1" t="s">
        <v>5</v>
      </c>
      <c r="B1" t="s">
        <v>181</v>
      </c>
      <c r="C1" t="s">
        <v>182</v>
      </c>
      <c r="D1" t="s">
        <v>0</v>
      </c>
      <c r="E1" t="s">
        <v>1</v>
      </c>
      <c r="F1" t="s">
        <v>6</v>
      </c>
      <c r="G1" t="s">
        <v>7</v>
      </c>
      <c r="H1" t="s">
        <v>321</v>
      </c>
      <c r="I1" t="s">
        <v>320</v>
      </c>
      <c r="J1" t="s">
        <v>174</v>
      </c>
      <c r="K1" t="s">
        <v>175</v>
      </c>
      <c r="L1" t="s">
        <v>179</v>
      </c>
      <c r="M1" t="s">
        <v>180</v>
      </c>
      <c r="N1" t="s">
        <v>2</v>
      </c>
      <c r="O1" t="s">
        <v>9</v>
      </c>
      <c r="P1" t="s">
        <v>10</v>
      </c>
      <c r="Q1" t="s">
        <v>12</v>
      </c>
      <c r="R1" t="s">
        <v>11</v>
      </c>
      <c r="S1" t="s">
        <v>3</v>
      </c>
      <c r="T1" t="s">
        <v>4</v>
      </c>
      <c r="U1" t="s">
        <v>190</v>
      </c>
    </row>
    <row r="2" spans="1:21" x14ac:dyDescent="0.3">
      <c r="A2">
        <v>1</v>
      </c>
      <c r="D2" t="s">
        <v>13</v>
      </c>
      <c r="E2" t="s">
        <v>14</v>
      </c>
      <c r="G2" t="s">
        <v>8</v>
      </c>
      <c r="H2" t="s">
        <v>150</v>
      </c>
      <c r="I2" t="s">
        <v>151</v>
      </c>
      <c r="N2" t="s">
        <v>15</v>
      </c>
      <c r="O2">
        <v>10160</v>
      </c>
      <c r="P2" t="s">
        <v>16</v>
      </c>
      <c r="Q2" t="s">
        <v>17</v>
      </c>
      <c r="R2" t="s">
        <v>18</v>
      </c>
      <c r="S2">
        <v>45514</v>
      </c>
      <c r="T2" t="s">
        <v>28</v>
      </c>
      <c r="U2" t="s">
        <v>191</v>
      </c>
    </row>
    <row r="3" spans="1:21" x14ac:dyDescent="0.3">
      <c r="A3">
        <v>2</v>
      </c>
      <c r="D3" t="s">
        <v>18</v>
      </c>
      <c r="E3" t="s">
        <v>19</v>
      </c>
      <c r="G3" t="s">
        <v>8</v>
      </c>
      <c r="H3" t="s">
        <v>150</v>
      </c>
      <c r="I3" t="s">
        <v>151</v>
      </c>
      <c r="N3" t="s">
        <v>20</v>
      </c>
      <c r="O3">
        <v>10160</v>
      </c>
      <c r="P3">
        <v>9749</v>
      </c>
      <c r="Q3" t="s">
        <v>21</v>
      </c>
      <c r="R3" t="s">
        <v>18</v>
      </c>
      <c r="S3">
        <v>45515</v>
      </c>
      <c r="T3" t="s">
        <v>28</v>
      </c>
      <c r="U3" t="s">
        <v>191</v>
      </c>
    </row>
    <row r="4" spans="1:21" x14ac:dyDescent="0.3">
      <c r="A4">
        <v>3</v>
      </c>
      <c r="D4" t="s">
        <v>22</v>
      </c>
      <c r="E4" t="s">
        <v>23</v>
      </c>
      <c r="G4" t="s">
        <v>8</v>
      </c>
      <c r="H4" t="s">
        <v>150</v>
      </c>
      <c r="I4" t="s">
        <v>165</v>
      </c>
      <c r="J4" t="s">
        <v>155</v>
      </c>
      <c r="K4">
        <v>90</v>
      </c>
      <c r="L4" t="s">
        <v>170</v>
      </c>
      <c r="N4" t="s">
        <v>24</v>
      </c>
      <c r="O4">
        <v>11455</v>
      </c>
      <c r="P4">
        <v>10067.68</v>
      </c>
      <c r="Q4" t="s">
        <v>17</v>
      </c>
      <c r="R4" t="s">
        <v>26</v>
      </c>
      <c r="T4" t="s">
        <v>37</v>
      </c>
      <c r="U4" t="s">
        <v>192</v>
      </c>
    </row>
    <row r="5" spans="1:21" x14ac:dyDescent="0.3">
      <c r="A5">
        <v>4</v>
      </c>
      <c r="D5" t="s">
        <v>25</v>
      </c>
      <c r="E5" t="s">
        <v>26</v>
      </c>
      <c r="G5" t="s">
        <v>8</v>
      </c>
      <c r="H5" t="s">
        <v>157</v>
      </c>
      <c r="N5" t="s">
        <v>27</v>
      </c>
      <c r="O5">
        <v>8642</v>
      </c>
      <c r="P5" t="s">
        <v>16</v>
      </c>
      <c r="Q5">
        <v>45529</v>
      </c>
      <c r="R5">
        <v>45542</v>
      </c>
      <c r="S5">
        <v>45531</v>
      </c>
      <c r="T5" t="s">
        <v>28</v>
      </c>
      <c r="U5" t="s">
        <v>191</v>
      </c>
    </row>
    <row r="6" spans="1:21" x14ac:dyDescent="0.3">
      <c r="A6">
        <v>5</v>
      </c>
      <c r="D6" t="s">
        <v>29</v>
      </c>
      <c r="E6" t="s">
        <v>23</v>
      </c>
      <c r="G6" t="s">
        <v>8</v>
      </c>
      <c r="H6" t="s">
        <v>150</v>
      </c>
      <c r="I6" t="s">
        <v>165</v>
      </c>
      <c r="J6" t="s">
        <v>152</v>
      </c>
      <c r="K6">
        <v>100</v>
      </c>
      <c r="L6" t="s">
        <v>172</v>
      </c>
      <c r="N6" t="s">
        <v>30</v>
      </c>
      <c r="O6">
        <v>12833</v>
      </c>
      <c r="P6">
        <v>12974.22</v>
      </c>
      <c r="Q6">
        <v>45520</v>
      </c>
      <c r="R6">
        <v>45535</v>
      </c>
      <c r="T6" t="s">
        <v>37</v>
      </c>
      <c r="U6" t="s">
        <v>192</v>
      </c>
    </row>
    <row r="7" spans="1:21" x14ac:dyDescent="0.3">
      <c r="A7">
        <v>6</v>
      </c>
      <c r="D7" t="s">
        <v>31</v>
      </c>
      <c r="G7" t="s">
        <v>31</v>
      </c>
      <c r="H7" t="s">
        <v>166</v>
      </c>
      <c r="I7" t="s">
        <v>164</v>
      </c>
      <c r="N7" t="s">
        <v>32</v>
      </c>
      <c r="O7">
        <v>14550</v>
      </c>
      <c r="P7" t="s">
        <v>16</v>
      </c>
      <c r="Q7">
        <v>45518</v>
      </c>
      <c r="R7">
        <v>45538</v>
      </c>
      <c r="S7">
        <v>45540</v>
      </c>
      <c r="T7" t="s">
        <v>28</v>
      </c>
      <c r="U7" t="s">
        <v>191</v>
      </c>
    </row>
    <row r="8" spans="1:21" x14ac:dyDescent="0.3">
      <c r="A8">
        <v>7</v>
      </c>
      <c r="D8" t="s">
        <v>33</v>
      </c>
      <c r="E8" t="s">
        <v>34</v>
      </c>
      <c r="G8" t="s">
        <v>35</v>
      </c>
      <c r="H8" t="s">
        <v>166</v>
      </c>
      <c r="I8" t="s">
        <v>164</v>
      </c>
      <c r="N8" t="s">
        <v>32</v>
      </c>
      <c r="O8">
        <v>12000</v>
      </c>
      <c r="P8">
        <v>12000</v>
      </c>
      <c r="Q8">
        <v>45521</v>
      </c>
      <c r="R8">
        <v>45524</v>
      </c>
      <c r="S8">
        <v>45523</v>
      </c>
      <c r="T8" t="s">
        <v>36</v>
      </c>
      <c r="U8" t="s">
        <v>191</v>
      </c>
    </row>
    <row r="9" spans="1:21" x14ac:dyDescent="0.3">
      <c r="A9">
        <v>8</v>
      </c>
      <c r="D9" t="s">
        <v>38</v>
      </c>
      <c r="E9" t="s">
        <v>39</v>
      </c>
      <c r="G9" t="s">
        <v>8</v>
      </c>
      <c r="H9" t="s">
        <v>150</v>
      </c>
      <c r="I9" t="s">
        <v>153</v>
      </c>
      <c r="N9" t="s">
        <v>40</v>
      </c>
      <c r="O9">
        <v>7228</v>
      </c>
      <c r="P9" t="s">
        <v>16</v>
      </c>
      <c r="Q9">
        <v>45529</v>
      </c>
      <c r="R9">
        <v>45538</v>
      </c>
      <c r="S9">
        <v>45545</v>
      </c>
      <c r="T9" t="s">
        <v>28</v>
      </c>
      <c r="U9" t="s">
        <v>191</v>
      </c>
    </row>
    <row r="10" spans="1:21" x14ac:dyDescent="0.3">
      <c r="A10">
        <v>9</v>
      </c>
      <c r="D10" t="s">
        <v>41</v>
      </c>
      <c r="E10" t="s">
        <v>42</v>
      </c>
      <c r="G10" t="s">
        <v>43</v>
      </c>
      <c r="H10" t="s">
        <v>158</v>
      </c>
      <c r="I10" t="s">
        <v>160</v>
      </c>
      <c r="N10" t="s">
        <v>44</v>
      </c>
      <c r="O10">
        <v>22000</v>
      </c>
      <c r="P10">
        <v>22000</v>
      </c>
      <c r="Q10">
        <v>45523</v>
      </c>
      <c r="R10">
        <v>45536</v>
      </c>
      <c r="S10">
        <v>45552</v>
      </c>
      <c r="U10" t="s">
        <v>191</v>
      </c>
    </row>
    <row r="11" spans="1:21" x14ac:dyDescent="0.3">
      <c r="A11">
        <v>10</v>
      </c>
      <c r="D11" t="s">
        <v>41</v>
      </c>
      <c r="E11" t="s">
        <v>42</v>
      </c>
      <c r="G11" t="s">
        <v>41</v>
      </c>
      <c r="H11" t="s">
        <v>161</v>
      </c>
      <c r="I11" t="s">
        <v>159</v>
      </c>
      <c r="N11" t="s">
        <v>45</v>
      </c>
      <c r="O11">
        <v>16000</v>
      </c>
      <c r="P11">
        <v>16000</v>
      </c>
      <c r="T11" t="s">
        <v>109</v>
      </c>
      <c r="U11" t="s">
        <v>193</v>
      </c>
    </row>
    <row r="12" spans="1:21" x14ac:dyDescent="0.3">
      <c r="A12">
        <v>11</v>
      </c>
      <c r="D12" t="s">
        <v>41</v>
      </c>
      <c r="E12" t="s">
        <v>46</v>
      </c>
      <c r="G12" t="s">
        <v>43</v>
      </c>
      <c r="H12" t="s">
        <v>161</v>
      </c>
      <c r="I12" t="s">
        <v>159</v>
      </c>
      <c r="N12" t="s">
        <v>47</v>
      </c>
      <c r="O12">
        <v>6000</v>
      </c>
      <c r="P12">
        <v>12000</v>
      </c>
      <c r="Q12">
        <v>45529</v>
      </c>
      <c r="R12">
        <v>45550</v>
      </c>
      <c r="S12">
        <v>45552</v>
      </c>
      <c r="T12" t="s">
        <v>199</v>
      </c>
      <c r="U12" t="s">
        <v>191</v>
      </c>
    </row>
    <row r="13" spans="1:21" x14ac:dyDescent="0.3">
      <c r="A13">
        <v>12</v>
      </c>
      <c r="D13" t="s">
        <v>41</v>
      </c>
      <c r="E13" t="s">
        <v>46</v>
      </c>
      <c r="G13" t="s">
        <v>43</v>
      </c>
      <c r="H13" t="s">
        <v>161</v>
      </c>
      <c r="I13" t="s">
        <v>159</v>
      </c>
      <c r="N13" t="s">
        <v>47</v>
      </c>
      <c r="O13">
        <v>6000</v>
      </c>
      <c r="P13">
        <v>12000</v>
      </c>
      <c r="Q13">
        <v>45529</v>
      </c>
      <c r="R13">
        <v>45550</v>
      </c>
      <c r="S13">
        <v>45552</v>
      </c>
      <c r="T13" t="s">
        <v>199</v>
      </c>
      <c r="U13" t="s">
        <v>191</v>
      </c>
    </row>
    <row r="14" spans="1:21" x14ac:dyDescent="0.3">
      <c r="A14">
        <v>13</v>
      </c>
      <c r="D14" t="s">
        <v>48</v>
      </c>
      <c r="E14" t="s">
        <v>49</v>
      </c>
      <c r="G14" t="s">
        <v>8</v>
      </c>
      <c r="H14" t="s">
        <v>150</v>
      </c>
      <c r="I14" t="s">
        <v>165</v>
      </c>
      <c r="J14" t="s">
        <v>152</v>
      </c>
      <c r="K14">
        <v>80</v>
      </c>
      <c r="L14" t="s">
        <v>167</v>
      </c>
      <c r="N14" t="s">
        <v>50</v>
      </c>
      <c r="O14">
        <v>10499</v>
      </c>
      <c r="P14">
        <v>8924</v>
      </c>
      <c r="Q14">
        <v>45536</v>
      </c>
      <c r="R14">
        <v>45551</v>
      </c>
      <c r="S14">
        <v>45543</v>
      </c>
      <c r="T14" t="s">
        <v>28</v>
      </c>
      <c r="U14" t="s">
        <v>191</v>
      </c>
    </row>
    <row r="15" spans="1:21" x14ac:dyDescent="0.3">
      <c r="A15">
        <v>14</v>
      </c>
      <c r="B15">
        <v>1404561</v>
      </c>
      <c r="C15">
        <v>1199284</v>
      </c>
      <c r="D15" t="s">
        <v>65</v>
      </c>
      <c r="E15" t="s">
        <v>39</v>
      </c>
      <c r="G15" t="s">
        <v>8</v>
      </c>
      <c r="H15" t="s">
        <v>150</v>
      </c>
      <c r="I15" t="s">
        <v>153</v>
      </c>
      <c r="J15" t="s">
        <v>152</v>
      </c>
      <c r="K15">
        <v>80</v>
      </c>
      <c r="L15" t="s">
        <v>167</v>
      </c>
      <c r="N15" t="s">
        <v>66</v>
      </c>
      <c r="O15">
        <v>7295</v>
      </c>
      <c r="P15">
        <v>5895</v>
      </c>
      <c r="Q15">
        <v>45540</v>
      </c>
      <c r="R15">
        <v>45549</v>
      </c>
      <c r="U15" t="s">
        <v>193</v>
      </c>
    </row>
    <row r="16" spans="1:21" x14ac:dyDescent="0.3">
      <c r="A16">
        <v>15</v>
      </c>
      <c r="B16">
        <v>1401137</v>
      </c>
      <c r="C16">
        <v>1197500</v>
      </c>
      <c r="D16" t="s">
        <v>61</v>
      </c>
      <c r="E16" t="s">
        <v>62</v>
      </c>
      <c r="G16" t="s">
        <v>8</v>
      </c>
      <c r="H16" t="s">
        <v>157</v>
      </c>
      <c r="I16" t="s">
        <v>187</v>
      </c>
      <c r="N16" t="s">
        <v>63</v>
      </c>
      <c r="O16">
        <v>7849</v>
      </c>
      <c r="P16" t="s">
        <v>16</v>
      </c>
      <c r="Q16">
        <v>45539</v>
      </c>
      <c r="R16">
        <v>45551</v>
      </c>
      <c r="S16">
        <v>45560</v>
      </c>
      <c r="T16" t="s">
        <v>28</v>
      </c>
      <c r="U16" t="s">
        <v>208</v>
      </c>
    </row>
    <row r="17" spans="1:21" x14ac:dyDescent="0.3">
      <c r="A17">
        <v>16</v>
      </c>
      <c r="D17" t="s">
        <v>54</v>
      </c>
      <c r="E17" t="s">
        <v>55</v>
      </c>
      <c r="G17" t="s">
        <v>56</v>
      </c>
      <c r="H17" t="s">
        <v>150</v>
      </c>
      <c r="I17" t="s">
        <v>165</v>
      </c>
      <c r="J17" t="s">
        <v>155</v>
      </c>
      <c r="K17">
        <v>120</v>
      </c>
      <c r="L17" t="s">
        <v>168</v>
      </c>
      <c r="N17" t="s">
        <v>57</v>
      </c>
      <c r="O17">
        <v>6180</v>
      </c>
      <c r="P17">
        <v>9700</v>
      </c>
      <c r="Q17">
        <v>45538</v>
      </c>
      <c r="R17">
        <v>45551</v>
      </c>
      <c r="S17">
        <v>45550</v>
      </c>
      <c r="T17" t="s">
        <v>199</v>
      </c>
      <c r="U17" t="s">
        <v>191</v>
      </c>
    </row>
    <row r="18" spans="1:21" x14ac:dyDescent="0.3">
      <c r="A18">
        <v>17</v>
      </c>
      <c r="D18" t="s">
        <v>54</v>
      </c>
      <c r="E18" t="s">
        <v>55</v>
      </c>
      <c r="G18" t="s">
        <v>56</v>
      </c>
      <c r="H18" t="s">
        <v>150</v>
      </c>
      <c r="I18" t="s">
        <v>165</v>
      </c>
      <c r="J18" t="s">
        <v>155</v>
      </c>
      <c r="K18">
        <v>120</v>
      </c>
      <c r="L18" t="s">
        <v>168</v>
      </c>
      <c r="N18" t="s">
        <v>57</v>
      </c>
      <c r="O18">
        <v>6180</v>
      </c>
      <c r="P18">
        <v>9700</v>
      </c>
      <c r="Q18">
        <v>45538</v>
      </c>
      <c r="R18">
        <v>45551</v>
      </c>
      <c r="S18">
        <v>45550</v>
      </c>
      <c r="T18" t="s">
        <v>199</v>
      </c>
      <c r="U18" t="s">
        <v>191</v>
      </c>
    </row>
    <row r="19" spans="1:21" x14ac:dyDescent="0.3">
      <c r="A19">
        <v>18</v>
      </c>
      <c r="B19">
        <v>1400149</v>
      </c>
      <c r="C19">
        <v>1196947</v>
      </c>
      <c r="D19" t="s">
        <v>58</v>
      </c>
      <c r="E19" t="s">
        <v>59</v>
      </c>
      <c r="G19" t="s">
        <v>8</v>
      </c>
      <c r="H19" t="s">
        <v>150</v>
      </c>
      <c r="I19" t="s">
        <v>165</v>
      </c>
      <c r="J19" t="s">
        <v>154</v>
      </c>
      <c r="K19">
        <v>80</v>
      </c>
      <c r="L19" t="s">
        <v>167</v>
      </c>
      <c r="N19" t="s">
        <v>60</v>
      </c>
      <c r="O19">
        <v>11199</v>
      </c>
      <c r="P19">
        <v>11310</v>
      </c>
      <c r="Q19">
        <v>45539</v>
      </c>
      <c r="R19">
        <v>45553</v>
      </c>
      <c r="U19" t="s">
        <v>193</v>
      </c>
    </row>
    <row r="20" spans="1:21" x14ac:dyDescent="0.3">
      <c r="A20">
        <v>19</v>
      </c>
      <c r="B20">
        <v>1408099</v>
      </c>
      <c r="C20">
        <v>1201057</v>
      </c>
      <c r="D20" t="s">
        <v>33</v>
      </c>
      <c r="E20" t="s">
        <v>67</v>
      </c>
      <c r="G20" t="s">
        <v>8</v>
      </c>
      <c r="H20" t="s">
        <v>150</v>
      </c>
      <c r="I20" t="s">
        <v>153</v>
      </c>
      <c r="J20" t="s">
        <v>177</v>
      </c>
      <c r="K20">
        <v>80</v>
      </c>
      <c r="L20" t="s">
        <v>167</v>
      </c>
      <c r="N20" t="s">
        <v>68</v>
      </c>
      <c r="O20">
        <v>7987</v>
      </c>
      <c r="P20" t="s">
        <v>16</v>
      </c>
      <c r="Q20">
        <v>45541</v>
      </c>
      <c r="R20">
        <v>45551</v>
      </c>
      <c r="S20">
        <v>45556</v>
      </c>
      <c r="T20" t="s">
        <v>199</v>
      </c>
      <c r="U20" t="s">
        <v>198</v>
      </c>
    </row>
    <row r="21" spans="1:21" x14ac:dyDescent="0.3">
      <c r="A21">
        <v>20</v>
      </c>
      <c r="D21" t="s">
        <v>43</v>
      </c>
      <c r="E21" t="s">
        <v>42</v>
      </c>
      <c r="G21" t="s">
        <v>43</v>
      </c>
      <c r="H21" t="s">
        <v>162</v>
      </c>
      <c r="I21" t="s">
        <v>163</v>
      </c>
      <c r="N21" t="s">
        <v>64</v>
      </c>
      <c r="O21">
        <v>9300</v>
      </c>
      <c r="P21">
        <v>9300</v>
      </c>
      <c r="Q21">
        <v>45539</v>
      </c>
      <c r="R21">
        <v>45550</v>
      </c>
      <c r="S21">
        <v>45552</v>
      </c>
      <c r="T21" t="s">
        <v>199</v>
      </c>
      <c r="U21" t="s">
        <v>191</v>
      </c>
    </row>
    <row r="22" spans="1:21" x14ac:dyDescent="0.3">
      <c r="A22">
        <v>21</v>
      </c>
      <c r="B22">
        <v>1408098</v>
      </c>
      <c r="C22">
        <v>1201057</v>
      </c>
      <c r="D22" t="s">
        <v>33</v>
      </c>
      <c r="E22" t="s">
        <v>67</v>
      </c>
      <c r="G22" t="s">
        <v>8</v>
      </c>
      <c r="H22" t="s">
        <v>150</v>
      </c>
      <c r="I22" t="s">
        <v>153</v>
      </c>
      <c r="J22" t="s">
        <v>177</v>
      </c>
      <c r="K22">
        <v>80</v>
      </c>
      <c r="L22" t="s">
        <v>167</v>
      </c>
      <c r="N22" t="s">
        <v>68</v>
      </c>
      <c r="O22">
        <v>7987</v>
      </c>
      <c r="P22" t="s">
        <v>16</v>
      </c>
      <c r="Q22">
        <v>45541</v>
      </c>
      <c r="R22">
        <v>45551</v>
      </c>
      <c r="S22">
        <v>45556</v>
      </c>
      <c r="T22" t="s">
        <v>199</v>
      </c>
      <c r="U22" t="s">
        <v>198</v>
      </c>
    </row>
    <row r="23" spans="1:21" x14ac:dyDescent="0.3">
      <c r="A23">
        <v>22</v>
      </c>
      <c r="B23">
        <v>1408100</v>
      </c>
      <c r="C23">
        <v>1201057</v>
      </c>
      <c r="D23" t="s">
        <v>33</v>
      </c>
      <c r="E23" t="s">
        <v>67</v>
      </c>
      <c r="G23" t="s">
        <v>8</v>
      </c>
      <c r="H23" t="s">
        <v>150</v>
      </c>
      <c r="I23" t="s">
        <v>153</v>
      </c>
      <c r="J23" t="s">
        <v>177</v>
      </c>
      <c r="K23">
        <v>80</v>
      </c>
      <c r="L23" t="s">
        <v>167</v>
      </c>
      <c r="N23" t="s">
        <v>68</v>
      </c>
      <c r="O23">
        <v>7987</v>
      </c>
      <c r="P23" t="s">
        <v>16</v>
      </c>
      <c r="Q23">
        <v>45541</v>
      </c>
      <c r="R23">
        <v>45551</v>
      </c>
      <c r="S23">
        <v>45556</v>
      </c>
      <c r="T23" t="s">
        <v>199</v>
      </c>
      <c r="U23" t="s">
        <v>198</v>
      </c>
    </row>
    <row r="24" spans="1:21" x14ac:dyDescent="0.3">
      <c r="A24">
        <v>23</v>
      </c>
      <c r="B24">
        <v>1408101</v>
      </c>
      <c r="C24">
        <v>1201057</v>
      </c>
      <c r="D24" t="s">
        <v>33</v>
      </c>
      <c r="E24" t="s">
        <v>67</v>
      </c>
      <c r="G24" t="s">
        <v>8</v>
      </c>
      <c r="H24" t="s">
        <v>150</v>
      </c>
      <c r="I24" t="s">
        <v>153</v>
      </c>
      <c r="J24" t="s">
        <v>177</v>
      </c>
      <c r="K24">
        <v>80</v>
      </c>
      <c r="L24" t="s">
        <v>167</v>
      </c>
      <c r="N24" t="s">
        <v>68</v>
      </c>
      <c r="O24">
        <v>7987</v>
      </c>
      <c r="P24" t="s">
        <v>16</v>
      </c>
      <c r="Q24">
        <v>45541</v>
      </c>
      <c r="R24">
        <v>45551</v>
      </c>
      <c r="S24">
        <v>45556</v>
      </c>
      <c r="T24" t="s">
        <v>199</v>
      </c>
      <c r="U24" t="s">
        <v>198</v>
      </c>
    </row>
    <row r="25" spans="1:21" x14ac:dyDescent="0.3">
      <c r="A25">
        <v>24</v>
      </c>
      <c r="B25">
        <v>1513856</v>
      </c>
      <c r="C25">
        <v>1231946</v>
      </c>
      <c r="D25" t="s">
        <v>106</v>
      </c>
      <c r="E25" t="s">
        <v>107</v>
      </c>
      <c r="G25" t="s">
        <v>8</v>
      </c>
      <c r="H25" t="s">
        <v>157</v>
      </c>
      <c r="I25" t="s">
        <v>187</v>
      </c>
      <c r="N25" t="s">
        <v>63</v>
      </c>
      <c r="O25">
        <v>8849</v>
      </c>
      <c r="P25" t="s">
        <v>16</v>
      </c>
      <c r="Q25">
        <v>45538</v>
      </c>
      <c r="R25">
        <v>45581</v>
      </c>
      <c r="U25" t="s">
        <v>193</v>
      </c>
    </row>
    <row r="26" spans="1:21" x14ac:dyDescent="0.3">
      <c r="A26">
        <v>25</v>
      </c>
      <c r="B26">
        <v>1411691</v>
      </c>
      <c r="C26">
        <v>1202775</v>
      </c>
      <c r="D26" t="s">
        <v>69</v>
      </c>
      <c r="E26" t="s">
        <v>39</v>
      </c>
      <c r="G26" t="s">
        <v>8</v>
      </c>
      <c r="H26" t="s">
        <v>150</v>
      </c>
      <c r="I26" t="s">
        <v>153</v>
      </c>
      <c r="J26" t="s">
        <v>156</v>
      </c>
      <c r="K26">
        <v>120</v>
      </c>
      <c r="L26" t="s">
        <v>167</v>
      </c>
      <c r="N26" t="s">
        <v>70</v>
      </c>
      <c r="O26">
        <v>10987</v>
      </c>
      <c r="P26" t="s">
        <v>16</v>
      </c>
      <c r="Q26">
        <v>45544</v>
      </c>
      <c r="R26">
        <v>45552</v>
      </c>
      <c r="S26">
        <v>45556</v>
      </c>
      <c r="T26" t="s">
        <v>199</v>
      </c>
      <c r="U26" t="s">
        <v>191</v>
      </c>
    </row>
    <row r="27" spans="1:21" x14ac:dyDescent="0.3">
      <c r="A27">
        <v>26</v>
      </c>
      <c r="D27" t="s">
        <v>31</v>
      </c>
      <c r="G27" t="s">
        <v>31</v>
      </c>
      <c r="H27" t="s">
        <v>150</v>
      </c>
      <c r="I27" t="s">
        <v>165</v>
      </c>
      <c r="J27" t="s">
        <v>154</v>
      </c>
      <c r="K27">
        <v>100</v>
      </c>
      <c r="L27" t="s">
        <v>167</v>
      </c>
      <c r="N27" t="s">
        <v>51</v>
      </c>
      <c r="O27">
        <v>9208</v>
      </c>
      <c r="P27">
        <v>5781.75</v>
      </c>
      <c r="Q27">
        <v>45536</v>
      </c>
      <c r="R27">
        <v>45554</v>
      </c>
      <c r="S27">
        <v>45556</v>
      </c>
      <c r="T27" t="s">
        <v>199</v>
      </c>
      <c r="U27" t="s">
        <v>198</v>
      </c>
    </row>
    <row r="28" spans="1:21" x14ac:dyDescent="0.3">
      <c r="A28">
        <v>27</v>
      </c>
      <c r="D28" t="s">
        <v>31</v>
      </c>
      <c r="G28" t="s">
        <v>52</v>
      </c>
      <c r="H28" t="s">
        <v>150</v>
      </c>
      <c r="I28" t="s">
        <v>165</v>
      </c>
      <c r="J28" t="s">
        <v>154</v>
      </c>
      <c r="K28">
        <v>100</v>
      </c>
      <c r="L28" t="s">
        <v>168</v>
      </c>
      <c r="N28" t="s">
        <v>53</v>
      </c>
      <c r="O28">
        <v>9208</v>
      </c>
      <c r="P28">
        <v>1278.53</v>
      </c>
      <c r="Q28">
        <v>45536</v>
      </c>
      <c r="R28">
        <v>45554</v>
      </c>
      <c r="S28">
        <v>45556</v>
      </c>
      <c r="T28" t="s">
        <v>199</v>
      </c>
      <c r="U28" t="s">
        <v>198</v>
      </c>
    </row>
    <row r="29" spans="1:21" x14ac:dyDescent="0.3">
      <c r="A29">
        <v>28</v>
      </c>
      <c r="D29" t="s">
        <v>83</v>
      </c>
      <c r="E29" t="s">
        <v>84</v>
      </c>
      <c r="G29" t="s">
        <v>56</v>
      </c>
      <c r="H29" t="s">
        <v>150</v>
      </c>
      <c r="I29" t="s">
        <v>153</v>
      </c>
      <c r="J29" t="s">
        <v>177</v>
      </c>
      <c r="K29">
        <v>120</v>
      </c>
      <c r="L29" t="s">
        <v>167</v>
      </c>
      <c r="N29" t="s">
        <v>87</v>
      </c>
      <c r="O29">
        <v>4020</v>
      </c>
      <c r="P29" t="s">
        <v>85</v>
      </c>
      <c r="Q29">
        <v>45547</v>
      </c>
      <c r="R29">
        <v>45556</v>
      </c>
      <c r="S29">
        <v>45557</v>
      </c>
      <c r="T29" t="s">
        <v>199</v>
      </c>
      <c r="U29" t="s">
        <v>191</v>
      </c>
    </row>
    <row r="30" spans="1:21" x14ac:dyDescent="0.3">
      <c r="A30">
        <v>29</v>
      </c>
      <c r="D30" t="s">
        <v>83</v>
      </c>
      <c r="E30" t="s">
        <v>84</v>
      </c>
      <c r="G30" t="s">
        <v>56</v>
      </c>
      <c r="H30" t="s">
        <v>150</v>
      </c>
      <c r="I30" t="s">
        <v>153</v>
      </c>
      <c r="J30" t="s">
        <v>177</v>
      </c>
      <c r="K30">
        <v>120</v>
      </c>
      <c r="L30" t="s">
        <v>167</v>
      </c>
      <c r="N30" t="s">
        <v>87</v>
      </c>
      <c r="O30">
        <v>4020</v>
      </c>
      <c r="P30" t="s">
        <v>85</v>
      </c>
      <c r="Q30">
        <v>45547</v>
      </c>
      <c r="R30">
        <v>45556</v>
      </c>
      <c r="S30">
        <v>45557</v>
      </c>
      <c r="T30" t="s">
        <v>199</v>
      </c>
      <c r="U30" t="s">
        <v>191</v>
      </c>
    </row>
    <row r="31" spans="1:21" x14ac:dyDescent="0.3">
      <c r="A31">
        <v>30</v>
      </c>
      <c r="D31" t="s">
        <v>83</v>
      </c>
      <c r="E31" t="s">
        <v>84</v>
      </c>
      <c r="G31" t="s">
        <v>56</v>
      </c>
      <c r="H31" t="s">
        <v>150</v>
      </c>
      <c r="I31" t="s">
        <v>153</v>
      </c>
      <c r="J31" t="s">
        <v>169</v>
      </c>
      <c r="K31">
        <v>120</v>
      </c>
      <c r="L31" t="s">
        <v>168</v>
      </c>
      <c r="N31" t="s">
        <v>86</v>
      </c>
      <c r="O31">
        <v>4020</v>
      </c>
      <c r="P31" t="s">
        <v>115</v>
      </c>
      <c r="Q31">
        <v>45547</v>
      </c>
      <c r="R31">
        <v>45556</v>
      </c>
      <c r="S31">
        <v>45557</v>
      </c>
      <c r="T31" t="s">
        <v>199</v>
      </c>
      <c r="U31" t="s">
        <v>191</v>
      </c>
    </row>
    <row r="32" spans="1:21" x14ac:dyDescent="0.3">
      <c r="A32">
        <v>31</v>
      </c>
      <c r="D32" t="s">
        <v>83</v>
      </c>
      <c r="E32" t="s">
        <v>84</v>
      </c>
      <c r="G32" t="s">
        <v>56</v>
      </c>
      <c r="H32" t="s">
        <v>150</v>
      </c>
      <c r="I32" t="s">
        <v>153</v>
      </c>
      <c r="J32" t="s">
        <v>169</v>
      </c>
      <c r="K32">
        <v>120</v>
      </c>
      <c r="L32" t="s">
        <v>168</v>
      </c>
      <c r="N32" t="s">
        <v>86</v>
      </c>
      <c r="O32">
        <v>4020</v>
      </c>
      <c r="P32" t="s">
        <v>115</v>
      </c>
      <c r="Q32">
        <v>45547</v>
      </c>
      <c r="R32">
        <v>45556</v>
      </c>
      <c r="S32">
        <v>45557</v>
      </c>
      <c r="T32" t="s">
        <v>199</v>
      </c>
      <c r="U32" t="s">
        <v>191</v>
      </c>
    </row>
    <row r="33" spans="1:21" x14ac:dyDescent="0.3">
      <c r="A33">
        <v>32</v>
      </c>
      <c r="B33">
        <v>1509211</v>
      </c>
      <c r="C33">
        <v>1230837</v>
      </c>
      <c r="D33" t="s">
        <v>143</v>
      </c>
      <c r="E33" t="s">
        <v>144</v>
      </c>
      <c r="G33" t="s">
        <v>8</v>
      </c>
      <c r="H33" t="s">
        <v>150</v>
      </c>
      <c r="I33" t="s">
        <v>151</v>
      </c>
      <c r="L33" t="s">
        <v>168</v>
      </c>
      <c r="M33" t="s">
        <v>168</v>
      </c>
      <c r="N33" t="s">
        <v>145</v>
      </c>
      <c r="O33">
        <v>9399</v>
      </c>
      <c r="P33" t="s">
        <v>115</v>
      </c>
      <c r="Q33" t="s">
        <v>146</v>
      </c>
      <c r="R33">
        <v>45557</v>
      </c>
      <c r="S33" t="s">
        <v>192</v>
      </c>
      <c r="T33" t="s">
        <v>37</v>
      </c>
      <c r="U33" t="s">
        <v>192</v>
      </c>
    </row>
    <row r="34" spans="1:21" x14ac:dyDescent="0.3">
      <c r="A34">
        <v>33</v>
      </c>
      <c r="B34">
        <v>1536687</v>
      </c>
      <c r="C34">
        <v>1237682</v>
      </c>
      <c r="D34" t="s">
        <v>147</v>
      </c>
      <c r="E34" t="s">
        <v>148</v>
      </c>
      <c r="G34" t="s">
        <v>8</v>
      </c>
      <c r="H34" t="s">
        <v>157</v>
      </c>
      <c r="I34" t="s">
        <v>189</v>
      </c>
      <c r="N34" t="s">
        <v>149</v>
      </c>
      <c r="O34">
        <v>8349</v>
      </c>
      <c r="P34" t="s">
        <v>115</v>
      </c>
      <c r="Q34">
        <v>45549</v>
      </c>
      <c r="R34">
        <v>45557</v>
      </c>
      <c r="S34">
        <v>45559</v>
      </c>
      <c r="T34" t="s">
        <v>28</v>
      </c>
      <c r="U34" t="s">
        <v>191</v>
      </c>
    </row>
    <row r="35" spans="1:21" x14ac:dyDescent="0.3">
      <c r="A35">
        <v>34</v>
      </c>
      <c r="B35">
        <v>1520537</v>
      </c>
      <c r="C35">
        <v>1233624</v>
      </c>
      <c r="D35" t="s">
        <v>104</v>
      </c>
      <c r="E35" t="s">
        <v>39</v>
      </c>
      <c r="G35" t="s">
        <v>8</v>
      </c>
      <c r="H35" t="s">
        <v>150</v>
      </c>
      <c r="I35" t="s">
        <v>151</v>
      </c>
      <c r="L35" t="s">
        <v>168</v>
      </c>
      <c r="M35" t="s">
        <v>168</v>
      </c>
      <c r="N35" t="s">
        <v>105</v>
      </c>
      <c r="O35">
        <v>9399</v>
      </c>
      <c r="P35" t="s">
        <v>16</v>
      </c>
      <c r="Q35">
        <v>45548</v>
      </c>
      <c r="R35">
        <v>45559</v>
      </c>
      <c r="S35" t="s">
        <v>209</v>
      </c>
      <c r="T35" t="s">
        <v>28</v>
      </c>
      <c r="U35" t="s">
        <v>198</v>
      </c>
    </row>
    <row r="36" spans="1:21" x14ac:dyDescent="0.3">
      <c r="A36">
        <v>35</v>
      </c>
      <c r="B36">
        <v>1422998</v>
      </c>
      <c r="C36">
        <v>1207350</v>
      </c>
      <c r="D36" t="s">
        <v>71</v>
      </c>
      <c r="E36" t="s">
        <v>72</v>
      </c>
      <c r="G36" t="s">
        <v>8</v>
      </c>
      <c r="H36" t="s">
        <v>157</v>
      </c>
      <c r="I36" t="s">
        <v>187</v>
      </c>
      <c r="N36" t="s">
        <v>63</v>
      </c>
      <c r="O36">
        <v>7849</v>
      </c>
      <c r="P36">
        <v>7928</v>
      </c>
      <c r="Q36">
        <v>45547</v>
      </c>
      <c r="R36">
        <v>45561</v>
      </c>
      <c r="S36" t="s">
        <v>28</v>
      </c>
      <c r="T36" t="s">
        <v>28</v>
      </c>
      <c r="U36" t="s">
        <v>194</v>
      </c>
    </row>
    <row r="37" spans="1:21" x14ac:dyDescent="0.3">
      <c r="A37">
        <v>36</v>
      </c>
      <c r="D37" t="s">
        <v>79</v>
      </c>
      <c r="E37" t="s">
        <v>80</v>
      </c>
      <c r="F37" t="s">
        <v>81</v>
      </c>
      <c r="G37" t="s">
        <v>35</v>
      </c>
      <c r="H37" t="s">
        <v>150</v>
      </c>
      <c r="I37" t="s">
        <v>171</v>
      </c>
      <c r="J37" t="s">
        <v>155</v>
      </c>
      <c r="K37">
        <v>100</v>
      </c>
      <c r="L37" t="s">
        <v>168</v>
      </c>
      <c r="N37" t="s">
        <v>82</v>
      </c>
      <c r="O37">
        <v>9450</v>
      </c>
      <c r="P37">
        <v>9450</v>
      </c>
      <c r="Q37">
        <v>45547</v>
      </c>
      <c r="R37">
        <v>45561</v>
      </c>
      <c r="U37" t="s">
        <v>236</v>
      </c>
    </row>
    <row r="38" spans="1:21" x14ac:dyDescent="0.3">
      <c r="A38">
        <v>37</v>
      </c>
      <c r="B38">
        <v>1459790</v>
      </c>
      <c r="C38">
        <v>1218257</v>
      </c>
      <c r="D38" t="s">
        <v>95</v>
      </c>
      <c r="E38" t="s">
        <v>67</v>
      </c>
      <c r="G38" t="s">
        <v>8</v>
      </c>
      <c r="H38" t="s">
        <v>150</v>
      </c>
      <c r="I38" t="s">
        <v>153</v>
      </c>
      <c r="J38" t="s">
        <v>156</v>
      </c>
      <c r="K38">
        <v>120</v>
      </c>
      <c r="L38" t="s">
        <v>168</v>
      </c>
      <c r="N38" t="s">
        <v>96</v>
      </c>
      <c r="O38">
        <v>7460</v>
      </c>
      <c r="P38" t="s">
        <v>16</v>
      </c>
      <c r="Q38">
        <v>45548</v>
      </c>
      <c r="R38">
        <v>45561</v>
      </c>
      <c r="S38">
        <v>45568</v>
      </c>
      <c r="T38" t="s">
        <v>199</v>
      </c>
      <c r="U38" t="s">
        <v>198</v>
      </c>
    </row>
    <row r="39" spans="1:21" x14ac:dyDescent="0.3">
      <c r="A39">
        <v>38</v>
      </c>
      <c r="B39">
        <v>1455486</v>
      </c>
      <c r="C39">
        <v>1217163</v>
      </c>
      <c r="D39" t="s">
        <v>99</v>
      </c>
      <c r="E39" t="s">
        <v>67</v>
      </c>
      <c r="G39" t="s">
        <v>8</v>
      </c>
      <c r="H39" t="s">
        <v>150</v>
      </c>
      <c r="I39" t="s">
        <v>153</v>
      </c>
      <c r="J39" t="s">
        <v>178</v>
      </c>
      <c r="K39">
        <v>140</v>
      </c>
      <c r="L39" t="s">
        <v>176</v>
      </c>
      <c r="M39" t="s">
        <v>172</v>
      </c>
      <c r="N39" t="s">
        <v>100</v>
      </c>
      <c r="O39">
        <v>9528</v>
      </c>
      <c r="P39" t="s">
        <v>16</v>
      </c>
      <c r="Q39">
        <v>45548</v>
      </c>
      <c r="R39">
        <v>45561</v>
      </c>
      <c r="S39">
        <v>45568</v>
      </c>
      <c r="T39" t="s">
        <v>199</v>
      </c>
      <c r="U39" t="s">
        <v>198</v>
      </c>
    </row>
    <row r="40" spans="1:21" x14ac:dyDescent="0.3">
      <c r="A40">
        <v>39</v>
      </c>
      <c r="B40">
        <v>1504407</v>
      </c>
      <c r="C40">
        <v>1229760</v>
      </c>
      <c r="D40" t="s">
        <v>141</v>
      </c>
      <c r="E40" t="s">
        <v>39</v>
      </c>
      <c r="G40" t="s">
        <v>8</v>
      </c>
      <c r="H40" t="s">
        <v>150</v>
      </c>
      <c r="I40" t="s">
        <v>165</v>
      </c>
      <c r="J40" t="s">
        <v>155</v>
      </c>
      <c r="K40">
        <v>120</v>
      </c>
      <c r="L40" t="s">
        <v>172</v>
      </c>
      <c r="N40" t="s">
        <v>142</v>
      </c>
      <c r="O40">
        <v>12999</v>
      </c>
      <c r="P40" t="s">
        <v>16</v>
      </c>
      <c r="Q40">
        <v>45549</v>
      </c>
      <c r="R40">
        <v>45562</v>
      </c>
      <c r="S40">
        <v>45567</v>
      </c>
      <c r="T40" t="s">
        <v>199</v>
      </c>
      <c r="U40" t="s">
        <v>198</v>
      </c>
    </row>
    <row r="41" spans="1:21" x14ac:dyDescent="0.3">
      <c r="A41">
        <v>40</v>
      </c>
      <c r="B41">
        <v>1423361</v>
      </c>
      <c r="C41">
        <v>1207484</v>
      </c>
      <c r="D41" t="s">
        <v>73</v>
      </c>
      <c r="E41" t="s">
        <v>74</v>
      </c>
      <c r="G41" t="s">
        <v>8</v>
      </c>
      <c r="H41" t="s">
        <v>150</v>
      </c>
      <c r="I41" t="s">
        <v>165</v>
      </c>
      <c r="J41" t="s">
        <v>152</v>
      </c>
      <c r="K41">
        <v>90</v>
      </c>
      <c r="L41" t="s">
        <v>168</v>
      </c>
      <c r="N41" t="s">
        <v>77</v>
      </c>
      <c r="O41">
        <v>5999</v>
      </c>
      <c r="P41" t="s">
        <v>16</v>
      </c>
      <c r="Q41">
        <v>45547</v>
      </c>
      <c r="R41">
        <v>45564</v>
      </c>
    </row>
    <row r="42" spans="1:21" x14ac:dyDescent="0.3">
      <c r="A42">
        <v>41</v>
      </c>
      <c r="B42">
        <v>1415725</v>
      </c>
      <c r="C42">
        <v>1204732</v>
      </c>
      <c r="D42" t="s">
        <v>75</v>
      </c>
      <c r="E42" t="s">
        <v>76</v>
      </c>
      <c r="G42" t="s">
        <v>8</v>
      </c>
      <c r="H42" t="s">
        <v>150</v>
      </c>
      <c r="I42" t="s">
        <v>165</v>
      </c>
      <c r="J42" t="s">
        <v>155</v>
      </c>
      <c r="K42">
        <v>100</v>
      </c>
      <c r="L42" t="s">
        <v>168</v>
      </c>
      <c r="N42" t="s">
        <v>78</v>
      </c>
      <c r="O42">
        <v>11949</v>
      </c>
      <c r="P42">
        <v>10749</v>
      </c>
      <c r="Q42">
        <v>45547</v>
      </c>
      <c r="R42">
        <v>45564</v>
      </c>
      <c r="S42">
        <v>45567</v>
      </c>
      <c r="T42" t="s">
        <v>199</v>
      </c>
      <c r="U42" t="s">
        <v>198</v>
      </c>
    </row>
    <row r="43" spans="1:21" x14ac:dyDescent="0.3">
      <c r="A43">
        <v>42</v>
      </c>
      <c r="B43">
        <v>1415726</v>
      </c>
      <c r="C43">
        <v>1204732</v>
      </c>
      <c r="D43" t="s">
        <v>75</v>
      </c>
      <c r="E43" t="s">
        <v>76</v>
      </c>
      <c r="G43" t="s">
        <v>8</v>
      </c>
      <c r="H43" t="s">
        <v>150</v>
      </c>
      <c r="I43" t="s">
        <v>165</v>
      </c>
      <c r="J43" t="s">
        <v>155</v>
      </c>
      <c r="K43">
        <v>100</v>
      </c>
      <c r="L43" t="s">
        <v>168</v>
      </c>
      <c r="N43" t="s">
        <v>78</v>
      </c>
      <c r="O43">
        <v>11949</v>
      </c>
      <c r="P43">
        <v>10749</v>
      </c>
      <c r="Q43">
        <v>45547</v>
      </c>
      <c r="R43">
        <v>45564</v>
      </c>
      <c r="S43">
        <v>45567</v>
      </c>
      <c r="T43" t="s">
        <v>199</v>
      </c>
      <c r="U43" t="s">
        <v>198</v>
      </c>
    </row>
    <row r="44" spans="1:21" x14ac:dyDescent="0.3">
      <c r="A44">
        <v>43</v>
      </c>
      <c r="B44">
        <v>1499397</v>
      </c>
      <c r="C44">
        <v>1228586</v>
      </c>
      <c r="D44" t="s">
        <v>33</v>
      </c>
      <c r="E44" t="s">
        <v>88</v>
      </c>
      <c r="G44" t="s">
        <v>8</v>
      </c>
      <c r="H44" t="s">
        <v>150</v>
      </c>
      <c r="I44" t="s">
        <v>171</v>
      </c>
      <c r="J44" t="s">
        <v>155</v>
      </c>
      <c r="K44">
        <v>80</v>
      </c>
      <c r="L44" t="s">
        <v>167</v>
      </c>
      <c r="N44" t="s">
        <v>91</v>
      </c>
      <c r="O44">
        <v>16599</v>
      </c>
      <c r="P44" t="s">
        <v>16</v>
      </c>
      <c r="Q44">
        <v>45548</v>
      </c>
      <c r="R44">
        <v>45565</v>
      </c>
      <c r="S44">
        <v>45568</v>
      </c>
      <c r="T44" t="s">
        <v>199</v>
      </c>
      <c r="U44" t="s">
        <v>198</v>
      </c>
    </row>
    <row r="45" spans="1:21" x14ac:dyDescent="0.3">
      <c r="A45">
        <v>44</v>
      </c>
      <c r="B45">
        <v>1458696</v>
      </c>
      <c r="C45">
        <v>1217982</v>
      </c>
      <c r="D45" t="s">
        <v>89</v>
      </c>
      <c r="E45" t="s">
        <v>26</v>
      </c>
      <c r="G45" t="s">
        <v>8</v>
      </c>
      <c r="H45" t="s">
        <v>150</v>
      </c>
      <c r="I45" t="s">
        <v>165</v>
      </c>
      <c r="J45" t="s">
        <v>155</v>
      </c>
      <c r="K45">
        <v>80</v>
      </c>
      <c r="L45" t="s">
        <v>167</v>
      </c>
      <c r="N45" t="s">
        <v>90</v>
      </c>
      <c r="O45">
        <v>10999</v>
      </c>
      <c r="P45" t="s">
        <v>16</v>
      </c>
      <c r="Q45">
        <v>45548</v>
      </c>
      <c r="R45">
        <v>45565</v>
      </c>
      <c r="S45">
        <v>45581</v>
      </c>
      <c r="T45" t="s">
        <v>28</v>
      </c>
      <c r="U45" t="s">
        <v>198</v>
      </c>
    </row>
    <row r="46" spans="1:21" x14ac:dyDescent="0.3">
      <c r="A46">
        <v>45</v>
      </c>
      <c r="B46">
        <v>1480814</v>
      </c>
      <c r="C46">
        <v>1223964</v>
      </c>
      <c r="D46" t="s">
        <v>92</v>
      </c>
      <c r="E46" t="s">
        <v>93</v>
      </c>
      <c r="G46" t="s">
        <v>8</v>
      </c>
      <c r="H46" t="s">
        <v>150</v>
      </c>
      <c r="I46" t="s">
        <v>165</v>
      </c>
      <c r="J46" t="s">
        <v>155</v>
      </c>
      <c r="K46">
        <v>140</v>
      </c>
      <c r="L46" t="s">
        <v>170</v>
      </c>
      <c r="N46" t="s">
        <v>94</v>
      </c>
      <c r="O46">
        <v>13099</v>
      </c>
      <c r="P46" t="s">
        <v>16</v>
      </c>
      <c r="Q46">
        <v>45548</v>
      </c>
      <c r="R46">
        <v>45565</v>
      </c>
      <c r="S46">
        <v>45568</v>
      </c>
      <c r="T46" t="s">
        <v>28</v>
      </c>
      <c r="U46" t="s">
        <v>198</v>
      </c>
    </row>
    <row r="47" spans="1:21" x14ac:dyDescent="0.3">
      <c r="A47">
        <v>46</v>
      </c>
      <c r="B47">
        <v>1492471</v>
      </c>
      <c r="C47">
        <v>1227052</v>
      </c>
      <c r="D47" t="s">
        <v>97</v>
      </c>
      <c r="E47" t="s">
        <v>39</v>
      </c>
      <c r="G47" t="s">
        <v>8</v>
      </c>
      <c r="H47" t="s">
        <v>150</v>
      </c>
      <c r="I47" t="s">
        <v>165</v>
      </c>
      <c r="J47" t="s">
        <v>154</v>
      </c>
      <c r="K47">
        <v>120</v>
      </c>
      <c r="L47" t="s">
        <v>173</v>
      </c>
      <c r="N47" t="s">
        <v>98</v>
      </c>
      <c r="O47">
        <v>13849</v>
      </c>
      <c r="P47" t="s">
        <v>16</v>
      </c>
      <c r="Q47">
        <v>45548</v>
      </c>
      <c r="R47">
        <v>45565</v>
      </c>
      <c r="S47">
        <v>45585</v>
      </c>
      <c r="T47" t="s">
        <v>199</v>
      </c>
      <c r="U47" t="s">
        <v>198</v>
      </c>
    </row>
    <row r="48" spans="1:21" x14ac:dyDescent="0.3">
      <c r="A48">
        <v>47</v>
      </c>
      <c r="B48">
        <v>1507912</v>
      </c>
      <c r="C48">
        <v>1230527</v>
      </c>
      <c r="D48" t="s">
        <v>101</v>
      </c>
      <c r="E48" t="s">
        <v>102</v>
      </c>
      <c r="G48" t="s">
        <v>8</v>
      </c>
      <c r="H48" t="s">
        <v>161</v>
      </c>
      <c r="I48" t="s">
        <v>164</v>
      </c>
      <c r="L48" t="s">
        <v>168</v>
      </c>
      <c r="M48" t="s">
        <v>172</v>
      </c>
      <c r="N48" t="s">
        <v>103</v>
      </c>
      <c r="O48">
        <v>21999</v>
      </c>
      <c r="P48" t="s">
        <v>16</v>
      </c>
      <c r="Q48">
        <v>45548</v>
      </c>
      <c r="R48">
        <v>45565</v>
      </c>
      <c r="S48" t="s">
        <v>28</v>
      </c>
      <c r="T48" t="s">
        <v>199</v>
      </c>
      <c r="U48" t="s">
        <v>198</v>
      </c>
    </row>
    <row r="49" spans="1:21" x14ac:dyDescent="0.3">
      <c r="A49">
        <v>48</v>
      </c>
      <c r="B49">
        <v>1525747</v>
      </c>
      <c r="C49">
        <v>1234936</v>
      </c>
      <c r="D49" t="s">
        <v>108</v>
      </c>
      <c r="E49" t="s">
        <v>39</v>
      </c>
      <c r="G49" t="s">
        <v>8</v>
      </c>
      <c r="H49" t="s">
        <v>150</v>
      </c>
      <c r="I49" t="s">
        <v>165</v>
      </c>
      <c r="J49" t="s">
        <v>155</v>
      </c>
      <c r="K49">
        <v>80</v>
      </c>
      <c r="L49" t="s">
        <v>167</v>
      </c>
      <c r="N49" t="s">
        <v>90</v>
      </c>
      <c r="O49">
        <v>10999</v>
      </c>
      <c r="P49" t="s">
        <v>16</v>
      </c>
      <c r="Q49">
        <v>45548</v>
      </c>
      <c r="R49">
        <v>45565</v>
      </c>
      <c r="S49">
        <v>45580</v>
      </c>
      <c r="T49" t="s">
        <v>199</v>
      </c>
      <c r="U49" t="s">
        <v>198</v>
      </c>
    </row>
    <row r="50" spans="1:21" x14ac:dyDescent="0.3">
      <c r="A50">
        <v>49</v>
      </c>
      <c r="B50">
        <v>1536313</v>
      </c>
      <c r="C50">
        <v>1237601</v>
      </c>
      <c r="D50" t="s">
        <v>110</v>
      </c>
      <c r="E50" t="s">
        <v>107</v>
      </c>
      <c r="G50" t="s">
        <v>8</v>
      </c>
      <c r="H50" t="s">
        <v>150</v>
      </c>
      <c r="I50" t="s">
        <v>171</v>
      </c>
      <c r="J50" t="s">
        <v>155</v>
      </c>
      <c r="K50">
        <v>90</v>
      </c>
      <c r="L50" t="s">
        <v>168</v>
      </c>
      <c r="N50" t="s">
        <v>111</v>
      </c>
      <c r="O50">
        <v>17249</v>
      </c>
      <c r="P50" t="s">
        <v>16</v>
      </c>
      <c r="Q50">
        <v>45548</v>
      </c>
      <c r="R50">
        <v>45565</v>
      </c>
      <c r="S50">
        <v>45569</v>
      </c>
      <c r="T50" t="s">
        <v>199</v>
      </c>
      <c r="U50" t="s">
        <v>198</v>
      </c>
    </row>
    <row r="51" spans="1:21" x14ac:dyDescent="0.3">
      <c r="A51">
        <v>50</v>
      </c>
      <c r="B51">
        <v>1505609</v>
      </c>
      <c r="C51">
        <v>1230031</v>
      </c>
      <c r="D51" t="s">
        <v>138</v>
      </c>
      <c r="E51" t="s">
        <v>139</v>
      </c>
      <c r="G51" t="s">
        <v>8</v>
      </c>
      <c r="H51" t="s">
        <v>157</v>
      </c>
      <c r="I51" t="s">
        <v>187</v>
      </c>
      <c r="N51" t="s">
        <v>140</v>
      </c>
      <c r="O51">
        <v>8349</v>
      </c>
      <c r="P51" t="s">
        <v>16</v>
      </c>
      <c r="Q51">
        <v>45549</v>
      </c>
      <c r="R51">
        <v>45581</v>
      </c>
      <c r="S51">
        <v>45586</v>
      </c>
      <c r="T51" t="s">
        <v>199</v>
      </c>
      <c r="U51" t="s">
        <v>198</v>
      </c>
    </row>
    <row r="52" spans="1:21" x14ac:dyDescent="0.3">
      <c r="A52">
        <v>51</v>
      </c>
      <c r="B52">
        <v>1612229</v>
      </c>
      <c r="C52">
        <v>1254076</v>
      </c>
      <c r="D52" t="s">
        <v>118</v>
      </c>
      <c r="E52" t="s">
        <v>62</v>
      </c>
      <c r="G52" t="s">
        <v>8</v>
      </c>
      <c r="H52" t="s">
        <v>157</v>
      </c>
      <c r="I52" t="s">
        <v>188</v>
      </c>
      <c r="N52" t="s">
        <v>27</v>
      </c>
      <c r="O52">
        <v>7849</v>
      </c>
      <c r="P52" t="s">
        <v>16</v>
      </c>
      <c r="Q52">
        <v>45549</v>
      </c>
      <c r="R52">
        <v>45594</v>
      </c>
      <c r="S52">
        <v>45595</v>
      </c>
      <c r="T52" t="s">
        <v>199</v>
      </c>
      <c r="U52" t="s">
        <v>198</v>
      </c>
    </row>
    <row r="53" spans="1:21" x14ac:dyDescent="0.3">
      <c r="A53">
        <v>52</v>
      </c>
      <c r="B53">
        <v>1673771</v>
      </c>
      <c r="C53">
        <v>1269559</v>
      </c>
      <c r="D53" t="s">
        <v>119</v>
      </c>
      <c r="E53" t="s">
        <v>39</v>
      </c>
      <c r="G53" t="s">
        <v>8</v>
      </c>
      <c r="H53" t="s">
        <v>150</v>
      </c>
      <c r="I53" t="s">
        <v>151</v>
      </c>
      <c r="L53" t="s">
        <v>168</v>
      </c>
      <c r="M53" t="s">
        <v>168</v>
      </c>
      <c r="N53" t="s">
        <v>120</v>
      </c>
      <c r="O53">
        <v>9399</v>
      </c>
      <c r="P53" t="s">
        <v>115</v>
      </c>
      <c r="Q53">
        <v>45549</v>
      </c>
      <c r="R53">
        <v>45594</v>
      </c>
      <c r="S53">
        <v>45580</v>
      </c>
      <c r="T53" t="s">
        <v>199</v>
      </c>
      <c r="U53" t="s">
        <v>198</v>
      </c>
    </row>
    <row r="54" spans="1:21" x14ac:dyDescent="0.3">
      <c r="A54">
        <v>53</v>
      </c>
      <c r="B54">
        <v>1667352</v>
      </c>
      <c r="C54">
        <v>1267819</v>
      </c>
      <c r="D54" t="s">
        <v>121</v>
      </c>
      <c r="E54" t="s">
        <v>122</v>
      </c>
      <c r="G54" t="s">
        <v>8</v>
      </c>
      <c r="H54" t="s">
        <v>150</v>
      </c>
      <c r="I54" t="s">
        <v>153</v>
      </c>
      <c r="J54" t="s">
        <v>156</v>
      </c>
      <c r="K54">
        <v>140</v>
      </c>
      <c r="L54" t="s">
        <v>168</v>
      </c>
      <c r="N54" t="s">
        <v>123</v>
      </c>
      <c r="O54">
        <v>11817</v>
      </c>
      <c r="P54" t="s">
        <v>115</v>
      </c>
      <c r="Q54">
        <v>45549</v>
      </c>
      <c r="R54">
        <v>45594</v>
      </c>
      <c r="S54">
        <v>45580</v>
      </c>
      <c r="T54" t="s">
        <v>199</v>
      </c>
      <c r="U54" t="s">
        <v>198</v>
      </c>
    </row>
    <row r="55" spans="1:21" x14ac:dyDescent="0.3">
      <c r="A55">
        <v>54</v>
      </c>
      <c r="B55">
        <v>1649781</v>
      </c>
      <c r="C55">
        <v>1263160</v>
      </c>
      <c r="D55" t="s">
        <v>124</v>
      </c>
      <c r="E55" t="s">
        <v>88</v>
      </c>
      <c r="G55" t="s">
        <v>8</v>
      </c>
      <c r="H55" t="s">
        <v>157</v>
      </c>
      <c r="I55" t="s">
        <v>189</v>
      </c>
      <c r="N55" t="s">
        <v>125</v>
      </c>
      <c r="O55">
        <v>8349</v>
      </c>
      <c r="P55" t="s">
        <v>115</v>
      </c>
      <c r="Q55">
        <v>45549</v>
      </c>
      <c r="R55">
        <v>45594</v>
      </c>
      <c r="S55">
        <v>45584</v>
      </c>
      <c r="T55" t="s">
        <v>199</v>
      </c>
      <c r="U55" t="s">
        <v>198</v>
      </c>
    </row>
    <row r="56" spans="1:21" x14ac:dyDescent="0.3">
      <c r="A56">
        <v>55</v>
      </c>
      <c r="B56">
        <v>1681476</v>
      </c>
      <c r="C56">
        <v>1271813</v>
      </c>
      <c r="D56" t="s">
        <v>128</v>
      </c>
      <c r="E56" t="s">
        <v>129</v>
      </c>
      <c r="G56" t="s">
        <v>8</v>
      </c>
      <c r="H56" t="s">
        <v>150</v>
      </c>
      <c r="I56" t="s">
        <v>153</v>
      </c>
      <c r="J56" t="s">
        <v>177</v>
      </c>
      <c r="K56">
        <v>120</v>
      </c>
      <c r="L56" t="s">
        <v>167</v>
      </c>
      <c r="N56" t="s">
        <v>130</v>
      </c>
      <c r="O56">
        <v>17886</v>
      </c>
      <c r="P56" t="s">
        <v>115</v>
      </c>
      <c r="Q56">
        <v>45549</v>
      </c>
      <c r="R56">
        <v>45594</v>
      </c>
      <c r="U56" t="s">
        <v>193</v>
      </c>
    </row>
    <row r="57" spans="1:21" x14ac:dyDescent="0.3">
      <c r="A57">
        <v>56</v>
      </c>
      <c r="B57">
        <v>1681477</v>
      </c>
      <c r="C57">
        <v>1271813</v>
      </c>
      <c r="D57" t="s">
        <v>128</v>
      </c>
      <c r="E57" t="s">
        <v>129</v>
      </c>
      <c r="G57" t="s">
        <v>8</v>
      </c>
      <c r="H57" t="s">
        <v>150</v>
      </c>
      <c r="I57" t="s">
        <v>153</v>
      </c>
      <c r="J57" t="s">
        <v>177</v>
      </c>
      <c r="K57">
        <v>120</v>
      </c>
      <c r="L57" t="s">
        <v>167</v>
      </c>
      <c r="N57" t="s">
        <v>130</v>
      </c>
      <c r="O57">
        <v>17886</v>
      </c>
      <c r="P57" t="s">
        <v>115</v>
      </c>
      <c r="Q57">
        <v>45549</v>
      </c>
      <c r="R57">
        <v>45594</v>
      </c>
      <c r="U57" t="s">
        <v>193</v>
      </c>
    </row>
    <row r="58" spans="1:21" x14ac:dyDescent="0.3">
      <c r="A58">
        <v>57</v>
      </c>
      <c r="B58">
        <v>1677530</v>
      </c>
      <c r="C58">
        <v>1270704</v>
      </c>
      <c r="D58" t="s">
        <v>131</v>
      </c>
      <c r="E58" t="s">
        <v>67</v>
      </c>
      <c r="G58" t="s">
        <v>8</v>
      </c>
      <c r="H58" t="s">
        <v>150</v>
      </c>
      <c r="I58" t="s">
        <v>153</v>
      </c>
      <c r="J58" t="s">
        <v>156</v>
      </c>
      <c r="K58">
        <v>120</v>
      </c>
      <c r="L58" t="s">
        <v>167</v>
      </c>
      <c r="N58" t="s">
        <v>132</v>
      </c>
      <c r="O58">
        <v>10987</v>
      </c>
      <c r="P58" t="s">
        <v>16</v>
      </c>
      <c r="Q58">
        <v>45549</v>
      </c>
      <c r="R58">
        <v>45594</v>
      </c>
      <c r="S58">
        <v>45578</v>
      </c>
      <c r="T58" t="s">
        <v>199</v>
      </c>
      <c r="U58" t="s">
        <v>198</v>
      </c>
    </row>
    <row r="59" spans="1:21" x14ac:dyDescent="0.3">
      <c r="A59">
        <v>58</v>
      </c>
      <c r="B59">
        <v>1677528</v>
      </c>
      <c r="C59">
        <v>1270704</v>
      </c>
      <c r="D59" t="s">
        <v>131</v>
      </c>
      <c r="E59" t="s">
        <v>67</v>
      </c>
      <c r="G59" t="s">
        <v>8</v>
      </c>
      <c r="H59" t="s">
        <v>150</v>
      </c>
      <c r="I59" t="s">
        <v>153</v>
      </c>
      <c r="J59" t="s">
        <v>156</v>
      </c>
      <c r="K59">
        <v>120</v>
      </c>
      <c r="L59" t="s">
        <v>167</v>
      </c>
      <c r="N59" t="s">
        <v>132</v>
      </c>
      <c r="O59">
        <v>10987</v>
      </c>
      <c r="P59" t="s">
        <v>16</v>
      </c>
      <c r="Q59">
        <v>45549</v>
      </c>
      <c r="R59">
        <v>45594</v>
      </c>
      <c r="S59">
        <v>45578</v>
      </c>
      <c r="T59" t="s">
        <v>199</v>
      </c>
      <c r="U59" t="s">
        <v>198</v>
      </c>
    </row>
    <row r="60" spans="1:21" x14ac:dyDescent="0.3">
      <c r="A60">
        <v>59</v>
      </c>
      <c r="B60">
        <v>1657744</v>
      </c>
      <c r="C60">
        <v>1265268</v>
      </c>
      <c r="D60" t="s">
        <v>134</v>
      </c>
      <c r="E60" t="s">
        <v>135</v>
      </c>
      <c r="G60" t="s">
        <v>8</v>
      </c>
      <c r="H60" t="s">
        <v>157</v>
      </c>
      <c r="I60" t="s">
        <v>187</v>
      </c>
      <c r="N60" t="s">
        <v>63</v>
      </c>
      <c r="O60">
        <v>10319</v>
      </c>
      <c r="P60" t="s">
        <v>16</v>
      </c>
      <c r="Q60">
        <v>45549</v>
      </c>
      <c r="R60">
        <v>45594</v>
      </c>
      <c r="S60">
        <v>45584</v>
      </c>
      <c r="T60" t="s">
        <v>199</v>
      </c>
      <c r="U60" t="s">
        <v>198</v>
      </c>
    </row>
    <row r="61" spans="1:21" x14ac:dyDescent="0.3">
      <c r="A61">
        <v>60</v>
      </c>
      <c r="B61">
        <v>1610613</v>
      </c>
      <c r="C61">
        <v>1253646</v>
      </c>
      <c r="D61" t="s">
        <v>112</v>
      </c>
      <c r="E61" t="s">
        <v>113</v>
      </c>
      <c r="G61" t="s">
        <v>8</v>
      </c>
      <c r="H61" t="s">
        <v>150</v>
      </c>
      <c r="I61" t="s">
        <v>165</v>
      </c>
      <c r="J61" t="s">
        <v>155</v>
      </c>
      <c r="K61">
        <v>120</v>
      </c>
      <c r="L61" t="s">
        <v>172</v>
      </c>
      <c r="N61" t="s">
        <v>114</v>
      </c>
      <c r="O61">
        <v>12999</v>
      </c>
      <c r="P61" t="s">
        <v>115</v>
      </c>
      <c r="Q61">
        <v>45549</v>
      </c>
      <c r="R61">
        <v>45616</v>
      </c>
      <c r="S61">
        <v>45582</v>
      </c>
      <c r="T61" t="s">
        <v>28</v>
      </c>
      <c r="U61" t="s">
        <v>198</v>
      </c>
    </row>
    <row r="62" spans="1:21" x14ac:dyDescent="0.3">
      <c r="A62">
        <v>61</v>
      </c>
      <c r="B62">
        <v>1608468</v>
      </c>
      <c r="C62">
        <v>1253172</v>
      </c>
      <c r="D62" t="s">
        <v>116</v>
      </c>
      <c r="E62" t="s">
        <v>117</v>
      </c>
      <c r="G62" t="s">
        <v>8</v>
      </c>
      <c r="H62" t="s">
        <v>161</v>
      </c>
      <c r="I62" t="s">
        <v>164</v>
      </c>
      <c r="L62" t="s">
        <v>168</v>
      </c>
      <c r="M62" t="s">
        <v>172</v>
      </c>
      <c r="N62" t="s">
        <v>103</v>
      </c>
      <c r="O62">
        <v>21999</v>
      </c>
      <c r="P62" t="s">
        <v>16</v>
      </c>
      <c r="Q62">
        <v>45549</v>
      </c>
      <c r="R62">
        <v>45616</v>
      </c>
      <c r="U62" t="s">
        <v>193</v>
      </c>
    </row>
    <row r="63" spans="1:21" x14ac:dyDescent="0.3">
      <c r="A63">
        <v>62</v>
      </c>
      <c r="B63">
        <v>1654554</v>
      </c>
      <c r="C63">
        <v>1264469</v>
      </c>
      <c r="D63" t="s">
        <v>126</v>
      </c>
      <c r="E63" t="s">
        <v>88</v>
      </c>
      <c r="G63" t="s">
        <v>8</v>
      </c>
      <c r="H63" t="s">
        <v>150</v>
      </c>
      <c r="I63" t="s">
        <v>165</v>
      </c>
      <c r="J63" t="s">
        <v>152</v>
      </c>
      <c r="K63">
        <v>100</v>
      </c>
      <c r="L63" t="s">
        <v>172</v>
      </c>
      <c r="N63" t="s">
        <v>127</v>
      </c>
      <c r="O63">
        <v>12399</v>
      </c>
      <c r="P63" t="s">
        <v>16</v>
      </c>
      <c r="Q63">
        <v>45549</v>
      </c>
      <c r="R63">
        <v>45616</v>
      </c>
      <c r="S63">
        <v>45566</v>
      </c>
      <c r="T63" t="s">
        <v>28</v>
      </c>
      <c r="U63" t="s">
        <v>198</v>
      </c>
    </row>
    <row r="64" spans="1:21" x14ac:dyDescent="0.3">
      <c r="A64">
        <v>63</v>
      </c>
      <c r="B64">
        <v>1644504</v>
      </c>
      <c r="C64">
        <v>1261644</v>
      </c>
      <c r="D64" t="s">
        <v>133</v>
      </c>
      <c r="E64" t="s">
        <v>67</v>
      </c>
      <c r="G64" t="s">
        <v>8</v>
      </c>
      <c r="H64" t="s">
        <v>161</v>
      </c>
      <c r="I64" t="s">
        <v>164</v>
      </c>
      <c r="L64" t="s">
        <v>168</v>
      </c>
      <c r="M64" t="s">
        <v>172</v>
      </c>
      <c r="N64" t="s">
        <v>103</v>
      </c>
      <c r="O64">
        <v>21999</v>
      </c>
      <c r="P64" t="s">
        <v>16</v>
      </c>
      <c r="Q64">
        <v>45549</v>
      </c>
      <c r="R64">
        <v>45616</v>
      </c>
      <c r="S64">
        <v>45574</v>
      </c>
      <c r="T64" t="s">
        <v>199</v>
      </c>
      <c r="U64" t="s">
        <v>228</v>
      </c>
    </row>
    <row r="65" spans="1:21" x14ac:dyDescent="0.3">
      <c r="A65">
        <v>64</v>
      </c>
      <c r="B65">
        <v>1655447</v>
      </c>
      <c r="C65">
        <v>1264684</v>
      </c>
      <c r="D65" t="s">
        <v>136</v>
      </c>
      <c r="E65" t="s">
        <v>62</v>
      </c>
      <c r="G65" t="s">
        <v>8</v>
      </c>
      <c r="H65" t="s">
        <v>150</v>
      </c>
      <c r="I65" t="s">
        <v>165</v>
      </c>
      <c r="J65" t="s">
        <v>152</v>
      </c>
      <c r="K65">
        <v>80</v>
      </c>
      <c r="L65" t="s">
        <v>167</v>
      </c>
      <c r="N65" t="s">
        <v>137</v>
      </c>
      <c r="O65">
        <v>10999</v>
      </c>
      <c r="P65" t="s">
        <v>115</v>
      </c>
      <c r="Q65">
        <v>45549</v>
      </c>
      <c r="R65">
        <v>45616</v>
      </c>
      <c r="S65">
        <v>45581</v>
      </c>
      <c r="T65" t="s">
        <v>199</v>
      </c>
      <c r="U65" t="s">
        <v>228</v>
      </c>
    </row>
    <row r="66" spans="1:21" x14ac:dyDescent="0.3">
      <c r="A66">
        <v>65</v>
      </c>
      <c r="B66">
        <v>1679731</v>
      </c>
      <c r="C66">
        <v>1271291</v>
      </c>
      <c r="D66" t="s">
        <v>183</v>
      </c>
      <c r="E66" t="s">
        <v>184</v>
      </c>
      <c r="G66" t="s">
        <v>8</v>
      </c>
      <c r="H66" t="s">
        <v>150</v>
      </c>
      <c r="I66" t="s">
        <v>165</v>
      </c>
      <c r="J66" t="s">
        <v>155</v>
      </c>
      <c r="K66">
        <v>80</v>
      </c>
      <c r="L66" t="s">
        <v>167</v>
      </c>
      <c r="O66">
        <v>10999</v>
      </c>
      <c r="P66" t="s">
        <v>115</v>
      </c>
      <c r="Q66" t="s">
        <v>195</v>
      </c>
      <c r="R66">
        <v>45616</v>
      </c>
      <c r="S66">
        <v>45581</v>
      </c>
      <c r="T66" t="s">
        <v>199</v>
      </c>
      <c r="U66" t="s">
        <v>228</v>
      </c>
    </row>
    <row r="67" spans="1:21" x14ac:dyDescent="0.3">
      <c r="A67">
        <v>66</v>
      </c>
      <c r="B67">
        <v>1679739</v>
      </c>
      <c r="C67">
        <v>1271291</v>
      </c>
      <c r="D67" t="s">
        <v>183</v>
      </c>
      <c r="E67" t="s">
        <v>184</v>
      </c>
      <c r="G67" t="s">
        <v>8</v>
      </c>
      <c r="H67" t="s">
        <v>150</v>
      </c>
      <c r="I67" t="s">
        <v>165</v>
      </c>
      <c r="J67" t="s">
        <v>155</v>
      </c>
      <c r="K67">
        <v>80</v>
      </c>
      <c r="L67" t="s">
        <v>167</v>
      </c>
      <c r="O67">
        <v>10999</v>
      </c>
      <c r="P67" t="s">
        <v>115</v>
      </c>
      <c r="Q67" t="s">
        <v>195</v>
      </c>
      <c r="R67">
        <v>45616</v>
      </c>
      <c r="S67">
        <v>45581</v>
      </c>
      <c r="T67" t="s">
        <v>199</v>
      </c>
      <c r="U67" t="s">
        <v>228</v>
      </c>
    </row>
    <row r="68" spans="1:21" x14ac:dyDescent="0.3">
      <c r="A68">
        <v>67</v>
      </c>
      <c r="B68">
        <v>1670668</v>
      </c>
      <c r="C68">
        <v>1268695</v>
      </c>
      <c r="D68" t="s">
        <v>185</v>
      </c>
      <c r="E68" t="s">
        <v>186</v>
      </c>
      <c r="G68" t="s">
        <v>8</v>
      </c>
      <c r="H68" t="s">
        <v>161</v>
      </c>
      <c r="I68" t="s">
        <v>164</v>
      </c>
      <c r="L68" t="s">
        <v>168</v>
      </c>
      <c r="M68" t="s">
        <v>172</v>
      </c>
      <c r="O68">
        <v>21999</v>
      </c>
      <c r="P68" t="s">
        <v>115</v>
      </c>
      <c r="Q68" t="s">
        <v>195</v>
      </c>
      <c r="R68">
        <v>45616</v>
      </c>
      <c r="S68">
        <v>45584</v>
      </c>
      <c r="T68" t="s">
        <v>199</v>
      </c>
      <c r="U68" t="s">
        <v>228</v>
      </c>
    </row>
    <row r="69" spans="1:21" x14ac:dyDescent="0.3">
      <c r="A69">
        <v>68</v>
      </c>
      <c r="B69">
        <v>1416625</v>
      </c>
      <c r="C69">
        <v>1205197</v>
      </c>
      <c r="D69" t="s">
        <v>196</v>
      </c>
      <c r="E69" t="s">
        <v>144</v>
      </c>
      <c r="G69" t="s">
        <v>8</v>
      </c>
      <c r="H69" t="s">
        <v>157</v>
      </c>
      <c r="I69" t="s">
        <v>187</v>
      </c>
      <c r="O69">
        <v>7849</v>
      </c>
      <c r="P69">
        <v>6306</v>
      </c>
      <c r="Q69" t="s">
        <v>197</v>
      </c>
      <c r="R69">
        <v>45595</v>
      </c>
      <c r="S69">
        <v>45610</v>
      </c>
      <c r="T69" t="s">
        <v>28</v>
      </c>
      <c r="U69" t="s">
        <v>198</v>
      </c>
    </row>
    <row r="70" spans="1:21" x14ac:dyDescent="0.3">
      <c r="A70">
        <v>69</v>
      </c>
      <c r="D70" t="s">
        <v>83</v>
      </c>
      <c r="E70" t="s">
        <v>200</v>
      </c>
      <c r="G70" t="s">
        <v>56</v>
      </c>
      <c r="H70" t="s">
        <v>150</v>
      </c>
      <c r="I70" t="s">
        <v>165</v>
      </c>
      <c r="J70" t="s">
        <v>155</v>
      </c>
      <c r="K70">
        <v>80</v>
      </c>
      <c r="L70" t="s">
        <v>167</v>
      </c>
      <c r="O70">
        <v>5074</v>
      </c>
      <c r="P70" t="s">
        <v>85</v>
      </c>
      <c r="Q70">
        <v>45556</v>
      </c>
      <c r="R70">
        <v>45570</v>
      </c>
      <c r="S70">
        <v>45577</v>
      </c>
      <c r="T70" t="s">
        <v>199</v>
      </c>
      <c r="U70" t="s">
        <v>228</v>
      </c>
    </row>
    <row r="71" spans="1:21" x14ac:dyDescent="0.3">
      <c r="A71">
        <v>70</v>
      </c>
      <c r="B71">
        <v>2514</v>
      </c>
      <c r="C71">
        <v>2514</v>
      </c>
      <c r="D71" t="s">
        <v>41</v>
      </c>
      <c r="E71" t="s">
        <v>42</v>
      </c>
      <c r="G71" t="s">
        <v>43</v>
      </c>
      <c r="H71" t="s">
        <v>150</v>
      </c>
      <c r="I71" t="s">
        <v>165</v>
      </c>
      <c r="J71" t="s">
        <v>154</v>
      </c>
      <c r="K71">
        <v>100</v>
      </c>
      <c r="L71" t="s">
        <v>201</v>
      </c>
      <c r="O71">
        <v>6250</v>
      </c>
      <c r="P71" t="s">
        <v>85</v>
      </c>
      <c r="Q71">
        <v>45558</v>
      </c>
      <c r="R71">
        <v>45573</v>
      </c>
      <c r="S71">
        <v>45582</v>
      </c>
      <c r="T71" t="s">
        <v>199</v>
      </c>
      <c r="U71" t="s">
        <v>228</v>
      </c>
    </row>
    <row r="72" spans="1:21" x14ac:dyDescent="0.3">
      <c r="A72">
        <v>71</v>
      </c>
      <c r="B72">
        <v>2514</v>
      </c>
      <c r="C72">
        <v>2514</v>
      </c>
      <c r="D72" t="s">
        <v>41</v>
      </c>
      <c r="E72" t="s">
        <v>42</v>
      </c>
      <c r="G72" t="s">
        <v>43</v>
      </c>
      <c r="H72" t="s">
        <v>150</v>
      </c>
      <c r="I72" t="s">
        <v>165</v>
      </c>
      <c r="J72" t="s">
        <v>154</v>
      </c>
      <c r="K72">
        <v>100</v>
      </c>
      <c r="L72" t="s">
        <v>201</v>
      </c>
      <c r="O72">
        <v>6250</v>
      </c>
      <c r="P72" t="s">
        <v>85</v>
      </c>
      <c r="Q72">
        <v>45558</v>
      </c>
      <c r="R72">
        <v>45573</v>
      </c>
      <c r="S72">
        <v>45582</v>
      </c>
      <c r="T72" t="s">
        <v>199</v>
      </c>
      <c r="U72" t="s">
        <v>228</v>
      </c>
    </row>
    <row r="73" spans="1:21" x14ac:dyDescent="0.3">
      <c r="A73">
        <v>72</v>
      </c>
      <c r="B73">
        <v>1706794</v>
      </c>
      <c r="C73">
        <v>1281428</v>
      </c>
      <c r="D73" t="s">
        <v>202</v>
      </c>
      <c r="E73" t="s">
        <v>42</v>
      </c>
      <c r="G73" t="s">
        <v>8</v>
      </c>
      <c r="H73" t="s">
        <v>150</v>
      </c>
      <c r="I73" t="s">
        <v>153</v>
      </c>
      <c r="J73" t="s">
        <v>177</v>
      </c>
      <c r="K73">
        <v>120</v>
      </c>
      <c r="L73" t="s">
        <v>167</v>
      </c>
      <c r="O73">
        <v>8943</v>
      </c>
      <c r="P73">
        <v>9033</v>
      </c>
      <c r="Q73">
        <v>45561</v>
      </c>
      <c r="R73">
        <v>45606</v>
      </c>
      <c r="S73">
        <v>45575</v>
      </c>
      <c r="T73" t="s">
        <v>199</v>
      </c>
      <c r="U73" t="s">
        <v>228</v>
      </c>
    </row>
    <row r="74" spans="1:21" x14ac:dyDescent="0.3">
      <c r="A74">
        <v>73</v>
      </c>
      <c r="B74">
        <v>1704621</v>
      </c>
      <c r="C74">
        <v>1280197</v>
      </c>
      <c r="D74" t="s">
        <v>203</v>
      </c>
      <c r="E74" t="s">
        <v>204</v>
      </c>
      <c r="G74" t="s">
        <v>8</v>
      </c>
      <c r="H74" t="s">
        <v>157</v>
      </c>
      <c r="I74" t="s">
        <v>189</v>
      </c>
      <c r="O74">
        <v>8349</v>
      </c>
      <c r="P74">
        <v>8433</v>
      </c>
      <c r="Q74">
        <v>45561</v>
      </c>
      <c r="R74">
        <v>45606</v>
      </c>
      <c r="U74" t="s">
        <v>193</v>
      </c>
    </row>
    <row r="75" spans="1:21" x14ac:dyDescent="0.3">
      <c r="A75">
        <v>74</v>
      </c>
      <c r="B75">
        <v>240078066</v>
      </c>
      <c r="D75" t="s">
        <v>31</v>
      </c>
      <c r="E75" t="s">
        <v>230</v>
      </c>
      <c r="G75" t="s">
        <v>52</v>
      </c>
      <c r="H75" t="s">
        <v>205</v>
      </c>
      <c r="I75" t="s">
        <v>206</v>
      </c>
      <c r="M75" t="s">
        <v>220</v>
      </c>
      <c r="O75">
        <v>14950</v>
      </c>
      <c r="P75" t="s">
        <v>16</v>
      </c>
      <c r="Q75">
        <v>45561</v>
      </c>
      <c r="R75">
        <v>45579</v>
      </c>
      <c r="S75">
        <v>45578</v>
      </c>
      <c r="T75" t="s">
        <v>199</v>
      </c>
      <c r="U75" t="s">
        <v>198</v>
      </c>
    </row>
    <row r="76" spans="1:21" x14ac:dyDescent="0.3">
      <c r="A76">
        <v>75</v>
      </c>
      <c r="B76">
        <v>240077789</v>
      </c>
      <c r="D76" t="s">
        <v>31</v>
      </c>
      <c r="G76" t="s">
        <v>52</v>
      </c>
      <c r="H76" t="s">
        <v>150</v>
      </c>
      <c r="I76" t="s">
        <v>165</v>
      </c>
      <c r="J76" t="s">
        <v>154</v>
      </c>
      <c r="K76">
        <v>100</v>
      </c>
      <c r="L76" t="s">
        <v>207</v>
      </c>
      <c r="O76">
        <v>9208</v>
      </c>
      <c r="P76">
        <v>9608</v>
      </c>
      <c r="Q76">
        <v>45561</v>
      </c>
      <c r="R76">
        <v>45579</v>
      </c>
      <c r="U76" t="s">
        <v>223</v>
      </c>
    </row>
    <row r="77" spans="1:21" x14ac:dyDescent="0.3">
      <c r="A77">
        <v>76</v>
      </c>
      <c r="B77">
        <v>240078390</v>
      </c>
      <c r="D77" t="s">
        <v>31</v>
      </c>
      <c r="G77" t="s">
        <v>52</v>
      </c>
      <c r="H77" t="s">
        <v>150</v>
      </c>
      <c r="I77" t="s">
        <v>153</v>
      </c>
      <c r="J77" t="s">
        <v>156</v>
      </c>
      <c r="K77">
        <v>120</v>
      </c>
      <c r="L77" t="s">
        <v>167</v>
      </c>
      <c r="O77">
        <v>7433</v>
      </c>
      <c r="P77" t="s">
        <v>16</v>
      </c>
      <c r="Q77">
        <v>45564</v>
      </c>
      <c r="R77">
        <v>45585</v>
      </c>
      <c r="S77">
        <v>45586</v>
      </c>
      <c r="T77" t="s">
        <v>199</v>
      </c>
      <c r="U77" t="s">
        <v>198</v>
      </c>
    </row>
    <row r="78" spans="1:21" x14ac:dyDescent="0.3">
      <c r="A78">
        <v>77</v>
      </c>
      <c r="D78" t="s">
        <v>83</v>
      </c>
      <c r="E78" t="s">
        <v>200</v>
      </c>
      <c r="G78" t="s">
        <v>56</v>
      </c>
      <c r="H78" t="s">
        <v>150</v>
      </c>
      <c r="I78" t="s">
        <v>153</v>
      </c>
      <c r="J78" t="s">
        <v>177</v>
      </c>
      <c r="K78">
        <v>120</v>
      </c>
      <c r="L78" t="s">
        <v>167</v>
      </c>
      <c r="O78">
        <v>4020</v>
      </c>
      <c r="P78" t="s">
        <v>85</v>
      </c>
      <c r="Q78">
        <v>45564</v>
      </c>
      <c r="R78">
        <v>45577</v>
      </c>
      <c r="S78">
        <v>45577</v>
      </c>
      <c r="T78" t="s">
        <v>199</v>
      </c>
      <c r="U78" t="s">
        <v>228</v>
      </c>
    </row>
    <row r="79" spans="1:21" x14ac:dyDescent="0.3">
      <c r="A79">
        <v>78</v>
      </c>
      <c r="D79" t="s">
        <v>210</v>
      </c>
      <c r="E79" t="s">
        <v>211</v>
      </c>
      <c r="G79" t="s">
        <v>212</v>
      </c>
      <c r="H79" t="s">
        <v>150</v>
      </c>
      <c r="I79" t="s">
        <v>165</v>
      </c>
      <c r="J79" t="s">
        <v>213</v>
      </c>
      <c r="K79">
        <v>100</v>
      </c>
      <c r="L79" t="s">
        <v>214</v>
      </c>
      <c r="O79">
        <v>8544.9054400000005</v>
      </c>
      <c r="Q79">
        <v>45566</v>
      </c>
      <c r="R79">
        <v>45574</v>
      </c>
      <c r="S79">
        <v>45574</v>
      </c>
      <c r="T79" t="s">
        <v>227</v>
      </c>
      <c r="U79" t="s">
        <v>198</v>
      </c>
    </row>
    <row r="80" spans="1:21" x14ac:dyDescent="0.3">
      <c r="A80">
        <v>79</v>
      </c>
      <c r="D80" t="s">
        <v>210</v>
      </c>
      <c r="E80" t="s">
        <v>211</v>
      </c>
      <c r="G80" t="s">
        <v>212</v>
      </c>
      <c r="H80" t="s">
        <v>150</v>
      </c>
      <c r="I80" t="s">
        <v>151</v>
      </c>
      <c r="L80" t="s">
        <v>217</v>
      </c>
      <c r="M80" t="s">
        <v>218</v>
      </c>
      <c r="O80">
        <v>4600</v>
      </c>
      <c r="Q80">
        <v>45566</v>
      </c>
      <c r="R80">
        <v>45574</v>
      </c>
      <c r="S80">
        <v>45574</v>
      </c>
      <c r="T80" t="s">
        <v>227</v>
      </c>
      <c r="U80" t="s">
        <v>198</v>
      </c>
    </row>
    <row r="81" spans="1:21" x14ac:dyDescent="0.3">
      <c r="A81">
        <v>80</v>
      </c>
      <c r="D81" t="s">
        <v>210</v>
      </c>
      <c r="E81" t="s">
        <v>211</v>
      </c>
      <c r="G81" t="s">
        <v>212</v>
      </c>
      <c r="H81" t="s">
        <v>205</v>
      </c>
      <c r="I81" t="s">
        <v>215</v>
      </c>
      <c r="L81" t="s">
        <v>168</v>
      </c>
      <c r="M81" t="s">
        <v>216</v>
      </c>
      <c r="O81">
        <v>10000</v>
      </c>
      <c r="Q81">
        <v>45566</v>
      </c>
      <c r="R81">
        <v>45574</v>
      </c>
      <c r="S81">
        <v>45574</v>
      </c>
      <c r="T81" t="s">
        <v>227</v>
      </c>
      <c r="U81" t="s">
        <v>198</v>
      </c>
    </row>
    <row r="82" spans="1:21" x14ac:dyDescent="0.3">
      <c r="A82">
        <v>81</v>
      </c>
      <c r="D82" t="s">
        <v>210</v>
      </c>
      <c r="E82" t="s">
        <v>211</v>
      </c>
      <c r="G82" t="s">
        <v>212</v>
      </c>
      <c r="H82" t="s">
        <v>219</v>
      </c>
      <c r="L82" t="s">
        <v>168</v>
      </c>
      <c r="M82" t="s">
        <v>220</v>
      </c>
      <c r="Q82">
        <v>45566</v>
      </c>
      <c r="R82">
        <v>45574</v>
      </c>
      <c r="S82">
        <v>45574</v>
      </c>
      <c r="T82" t="s">
        <v>227</v>
      </c>
      <c r="U82" t="s">
        <v>198</v>
      </c>
    </row>
    <row r="83" spans="1:21" x14ac:dyDescent="0.3">
      <c r="A83">
        <v>82</v>
      </c>
      <c r="B83">
        <v>1282228</v>
      </c>
      <c r="C83">
        <v>1708226</v>
      </c>
      <c r="D83" t="s">
        <v>221</v>
      </c>
      <c r="E83" t="s">
        <v>222</v>
      </c>
      <c r="G83" t="s">
        <v>8</v>
      </c>
      <c r="H83" t="s">
        <v>150</v>
      </c>
      <c r="I83" t="s">
        <v>151</v>
      </c>
      <c r="L83" t="s">
        <v>168</v>
      </c>
      <c r="M83" t="s">
        <v>168</v>
      </c>
      <c r="O83">
        <v>8899</v>
      </c>
      <c r="P83">
        <v>8988</v>
      </c>
      <c r="Q83">
        <v>45568</v>
      </c>
      <c r="R83">
        <v>45613</v>
      </c>
    </row>
    <row r="84" spans="1:21" x14ac:dyDescent="0.3">
      <c r="A84">
        <v>83</v>
      </c>
      <c r="B84">
        <v>240079328</v>
      </c>
      <c r="D84" t="s">
        <v>31</v>
      </c>
      <c r="E84" t="s">
        <v>224</v>
      </c>
      <c r="G84" t="s">
        <v>31</v>
      </c>
      <c r="H84" t="s">
        <v>225</v>
      </c>
      <c r="I84" t="s">
        <v>206</v>
      </c>
      <c r="L84" t="s">
        <v>207</v>
      </c>
      <c r="M84" t="s">
        <v>226</v>
      </c>
      <c r="O84">
        <v>14550</v>
      </c>
      <c r="P84" t="s">
        <v>16</v>
      </c>
      <c r="Q84">
        <v>45573</v>
      </c>
      <c r="R84">
        <v>45594</v>
      </c>
      <c r="S84">
        <v>45595</v>
      </c>
      <c r="T84" t="s">
        <v>199</v>
      </c>
      <c r="U84" t="s">
        <v>198</v>
      </c>
    </row>
    <row r="85" spans="1:21" x14ac:dyDescent="0.3">
      <c r="A85">
        <v>84</v>
      </c>
      <c r="B85">
        <v>240078933</v>
      </c>
      <c r="D85" t="s">
        <v>31</v>
      </c>
      <c r="E85" t="s">
        <v>229</v>
      </c>
      <c r="G85" t="s">
        <v>52</v>
      </c>
      <c r="H85" t="s">
        <v>161</v>
      </c>
      <c r="I85" t="s">
        <v>206</v>
      </c>
      <c r="L85" t="s">
        <v>207</v>
      </c>
      <c r="M85" t="s">
        <v>226</v>
      </c>
      <c r="O85">
        <v>14550</v>
      </c>
      <c r="P85" t="s">
        <v>16</v>
      </c>
      <c r="Q85">
        <v>45572</v>
      </c>
      <c r="R85">
        <v>45594</v>
      </c>
      <c r="S85">
        <v>45580</v>
      </c>
      <c r="T85" t="s">
        <v>199</v>
      </c>
      <c r="U85" t="s">
        <v>198</v>
      </c>
    </row>
    <row r="86" spans="1:21" x14ac:dyDescent="0.3">
      <c r="A86">
        <v>85</v>
      </c>
      <c r="B86">
        <v>240079517</v>
      </c>
      <c r="D86" t="s">
        <v>31</v>
      </c>
      <c r="G86" t="s">
        <v>31</v>
      </c>
      <c r="H86" t="s">
        <v>225</v>
      </c>
      <c r="I86" t="s">
        <v>206</v>
      </c>
      <c r="L86" t="s">
        <v>207</v>
      </c>
      <c r="M86" t="s">
        <v>220</v>
      </c>
      <c r="O86">
        <v>14550</v>
      </c>
      <c r="P86">
        <v>11495</v>
      </c>
      <c r="Q86">
        <v>45575</v>
      </c>
      <c r="R86">
        <v>45596</v>
      </c>
      <c r="S86">
        <v>45598</v>
      </c>
      <c r="T86" t="s">
        <v>199</v>
      </c>
      <c r="U86" t="s">
        <v>198</v>
      </c>
    </row>
    <row r="87" spans="1:21" x14ac:dyDescent="0.3">
      <c r="A87">
        <v>86</v>
      </c>
      <c r="B87">
        <v>1714623</v>
      </c>
      <c r="C87">
        <v>1284697</v>
      </c>
      <c r="D87" t="s">
        <v>231</v>
      </c>
      <c r="E87" t="s">
        <v>102</v>
      </c>
      <c r="G87" t="s">
        <v>8</v>
      </c>
      <c r="H87" t="s">
        <v>150</v>
      </c>
      <c r="I87" t="s">
        <v>165</v>
      </c>
      <c r="J87" t="s">
        <v>232</v>
      </c>
      <c r="K87" t="s">
        <v>233</v>
      </c>
      <c r="L87" t="s">
        <v>234</v>
      </c>
      <c r="O87">
        <v>12899</v>
      </c>
      <c r="P87">
        <v>13028</v>
      </c>
      <c r="Q87">
        <v>45578</v>
      </c>
      <c r="R87">
        <v>45643</v>
      </c>
      <c r="S87">
        <v>45598</v>
      </c>
      <c r="T87" t="s">
        <v>199</v>
      </c>
      <c r="U87" t="s">
        <v>198</v>
      </c>
    </row>
    <row r="88" spans="1:21" x14ac:dyDescent="0.3">
      <c r="A88">
        <v>87</v>
      </c>
      <c r="B88">
        <v>1715473</v>
      </c>
      <c r="C88">
        <v>1285152</v>
      </c>
      <c r="D88" t="s">
        <v>235</v>
      </c>
      <c r="E88" t="s">
        <v>49</v>
      </c>
      <c r="G88" t="s">
        <v>8</v>
      </c>
      <c r="H88" t="s">
        <v>150</v>
      </c>
      <c r="I88" t="s">
        <v>165</v>
      </c>
      <c r="J88" t="s">
        <v>155</v>
      </c>
      <c r="K88">
        <v>80</v>
      </c>
      <c r="L88" t="s">
        <v>167</v>
      </c>
      <c r="O88">
        <v>10499</v>
      </c>
      <c r="P88" t="s">
        <v>16</v>
      </c>
      <c r="Q88">
        <v>45581</v>
      </c>
      <c r="R88">
        <v>45645</v>
      </c>
      <c r="S88">
        <v>45586</v>
      </c>
      <c r="T88" t="s">
        <v>199</v>
      </c>
      <c r="U88" t="s">
        <v>198</v>
      </c>
    </row>
    <row r="89" spans="1:21" x14ac:dyDescent="0.3">
      <c r="A89">
        <v>89</v>
      </c>
      <c r="B89">
        <v>1715992</v>
      </c>
      <c r="C89">
        <v>1285423</v>
      </c>
      <c r="D89" t="s">
        <v>237</v>
      </c>
      <c r="E89" t="s">
        <v>238</v>
      </c>
      <c r="G89" t="s">
        <v>8</v>
      </c>
      <c r="H89" t="s">
        <v>150</v>
      </c>
      <c r="I89" t="s">
        <v>165</v>
      </c>
      <c r="J89" t="s">
        <v>152</v>
      </c>
      <c r="K89" t="s">
        <v>239</v>
      </c>
      <c r="L89" t="s">
        <v>234</v>
      </c>
      <c r="O89">
        <v>12899</v>
      </c>
      <c r="P89" t="s">
        <v>16</v>
      </c>
      <c r="Q89">
        <v>45582</v>
      </c>
      <c r="R89">
        <v>45648</v>
      </c>
      <c r="S89">
        <v>45629</v>
      </c>
      <c r="T89" t="s">
        <v>28</v>
      </c>
      <c r="U89" t="s">
        <v>228</v>
      </c>
    </row>
    <row r="90" spans="1:21" x14ac:dyDescent="0.3">
      <c r="A90">
        <v>90</v>
      </c>
      <c r="B90" t="s">
        <v>241</v>
      </c>
      <c r="D90" t="s">
        <v>240</v>
      </c>
      <c r="E90" t="s">
        <v>242</v>
      </c>
      <c r="F90">
        <v>1211691428</v>
      </c>
      <c r="G90" t="s">
        <v>243</v>
      </c>
      <c r="H90" t="s">
        <v>150</v>
      </c>
      <c r="I90" t="s">
        <v>153</v>
      </c>
      <c r="J90" t="s">
        <v>244</v>
      </c>
      <c r="K90">
        <v>140</v>
      </c>
      <c r="L90" t="s">
        <v>220</v>
      </c>
      <c r="M90" t="s">
        <v>245</v>
      </c>
      <c r="O90">
        <v>5135</v>
      </c>
      <c r="P90" t="s">
        <v>16</v>
      </c>
      <c r="Q90">
        <v>45585</v>
      </c>
      <c r="R90">
        <v>45613</v>
      </c>
      <c r="S90">
        <v>45610</v>
      </c>
      <c r="T90" t="s">
        <v>199</v>
      </c>
      <c r="U90" t="s">
        <v>198</v>
      </c>
    </row>
    <row r="91" spans="1:21" x14ac:dyDescent="0.3">
      <c r="A91">
        <v>91</v>
      </c>
      <c r="B91">
        <v>240080607</v>
      </c>
      <c r="D91" t="s">
        <v>31</v>
      </c>
      <c r="E91" t="s">
        <v>204</v>
      </c>
      <c r="G91" t="s">
        <v>52</v>
      </c>
      <c r="H91" t="s">
        <v>150</v>
      </c>
      <c r="I91" t="s">
        <v>165</v>
      </c>
      <c r="J91" t="s">
        <v>246</v>
      </c>
      <c r="K91">
        <v>100</v>
      </c>
      <c r="L91" t="s">
        <v>247</v>
      </c>
      <c r="O91">
        <v>12777.5</v>
      </c>
      <c r="P91">
        <v>11277.5</v>
      </c>
      <c r="Q91">
        <v>45587</v>
      </c>
      <c r="R91">
        <v>45608</v>
      </c>
      <c r="S91">
        <v>45614</v>
      </c>
      <c r="T91" t="s">
        <v>199</v>
      </c>
      <c r="U91" t="s">
        <v>198</v>
      </c>
    </row>
    <row r="92" spans="1:21" x14ac:dyDescent="0.3">
      <c r="A92">
        <v>92</v>
      </c>
      <c r="B92">
        <v>240080607</v>
      </c>
      <c r="D92" t="s">
        <v>31</v>
      </c>
      <c r="E92" t="s">
        <v>204</v>
      </c>
      <c r="G92" t="s">
        <v>52</v>
      </c>
      <c r="H92" t="s">
        <v>150</v>
      </c>
      <c r="I92" t="s">
        <v>165</v>
      </c>
      <c r="J92" t="s">
        <v>246</v>
      </c>
      <c r="K92">
        <v>100</v>
      </c>
      <c r="L92" t="s">
        <v>247</v>
      </c>
      <c r="O92">
        <v>12777.5</v>
      </c>
      <c r="P92">
        <v>11277.5</v>
      </c>
      <c r="Q92">
        <v>45587</v>
      </c>
      <c r="R92">
        <v>45608</v>
      </c>
      <c r="S92">
        <v>45614</v>
      </c>
      <c r="T92" t="s">
        <v>199</v>
      </c>
      <c r="U92" t="s">
        <v>198</v>
      </c>
    </row>
    <row r="93" spans="1:21" x14ac:dyDescent="0.3">
      <c r="A93">
        <v>93</v>
      </c>
      <c r="D93" t="s">
        <v>83</v>
      </c>
      <c r="E93" t="s">
        <v>248</v>
      </c>
      <c r="G93" t="s">
        <v>56</v>
      </c>
      <c r="H93" t="s">
        <v>150</v>
      </c>
      <c r="I93" t="s">
        <v>165</v>
      </c>
      <c r="J93" t="s">
        <v>246</v>
      </c>
      <c r="K93">
        <v>100</v>
      </c>
      <c r="L93" t="s">
        <v>247</v>
      </c>
      <c r="O93">
        <v>8544.91</v>
      </c>
      <c r="P93" t="s">
        <v>85</v>
      </c>
      <c r="Q93">
        <v>45587</v>
      </c>
      <c r="R93" t="s">
        <v>249</v>
      </c>
      <c r="U93" t="s">
        <v>274</v>
      </c>
    </row>
    <row r="94" spans="1:21" x14ac:dyDescent="0.3">
      <c r="A94">
        <v>94</v>
      </c>
      <c r="B94">
        <v>1717458</v>
      </c>
      <c r="C94">
        <v>1286189</v>
      </c>
      <c r="D94" t="s">
        <v>250</v>
      </c>
      <c r="E94" t="s">
        <v>251</v>
      </c>
      <c r="G94" t="s">
        <v>8</v>
      </c>
      <c r="H94" t="s">
        <v>150</v>
      </c>
      <c r="I94" t="s">
        <v>153</v>
      </c>
      <c r="J94" t="s">
        <v>177</v>
      </c>
      <c r="K94">
        <v>120</v>
      </c>
      <c r="L94" t="s">
        <v>167</v>
      </c>
      <c r="O94">
        <v>8943</v>
      </c>
      <c r="P94">
        <v>9007.01</v>
      </c>
      <c r="Q94">
        <v>45586</v>
      </c>
      <c r="R94">
        <v>45610</v>
      </c>
      <c r="S94">
        <v>45614</v>
      </c>
      <c r="T94" t="s">
        <v>199</v>
      </c>
      <c r="U94" t="s">
        <v>198</v>
      </c>
    </row>
    <row r="95" spans="1:21" x14ac:dyDescent="0.3">
      <c r="A95">
        <v>95</v>
      </c>
      <c r="B95">
        <v>240080858</v>
      </c>
      <c r="D95" t="s">
        <v>31</v>
      </c>
      <c r="G95" t="s">
        <v>52</v>
      </c>
      <c r="H95" t="s">
        <v>205</v>
      </c>
      <c r="I95" t="s">
        <v>206</v>
      </c>
      <c r="L95" t="s">
        <v>168</v>
      </c>
      <c r="O95">
        <v>15516</v>
      </c>
      <c r="P95" t="s">
        <v>16</v>
      </c>
      <c r="Q95">
        <v>45589</v>
      </c>
      <c r="R95">
        <v>45610</v>
      </c>
      <c r="S95">
        <v>45595</v>
      </c>
      <c r="T95" t="s">
        <v>199</v>
      </c>
      <c r="U95" t="s">
        <v>198</v>
      </c>
    </row>
    <row r="96" spans="1:21" x14ac:dyDescent="0.3">
      <c r="A96">
        <v>96</v>
      </c>
      <c r="B96">
        <v>240081061</v>
      </c>
      <c r="D96" t="s">
        <v>31</v>
      </c>
      <c r="G96" t="s">
        <v>52</v>
      </c>
      <c r="H96" t="s">
        <v>150</v>
      </c>
      <c r="I96" t="s">
        <v>165</v>
      </c>
      <c r="J96" t="s">
        <v>154</v>
      </c>
      <c r="K96">
        <v>100</v>
      </c>
      <c r="L96" t="s">
        <v>168</v>
      </c>
      <c r="O96">
        <v>10045</v>
      </c>
      <c r="P96">
        <v>8879</v>
      </c>
      <c r="Q96">
        <v>45591</v>
      </c>
      <c r="R96">
        <v>45612</v>
      </c>
      <c r="U96" t="s">
        <v>236</v>
      </c>
    </row>
    <row r="97" spans="1:21" x14ac:dyDescent="0.3">
      <c r="A97">
        <v>97</v>
      </c>
      <c r="B97">
        <v>1718948</v>
      </c>
      <c r="C97">
        <v>1286883</v>
      </c>
      <c r="D97" t="s">
        <v>131</v>
      </c>
      <c r="E97" t="s">
        <v>252</v>
      </c>
      <c r="G97" t="s">
        <v>8</v>
      </c>
      <c r="H97" t="s">
        <v>150</v>
      </c>
      <c r="I97" t="s">
        <v>165</v>
      </c>
      <c r="J97" t="s">
        <v>154</v>
      </c>
      <c r="K97">
        <v>90</v>
      </c>
      <c r="L97" t="s">
        <v>168</v>
      </c>
      <c r="O97">
        <v>11649</v>
      </c>
      <c r="P97">
        <v>11749</v>
      </c>
      <c r="Q97">
        <v>45591</v>
      </c>
      <c r="R97">
        <v>45606</v>
      </c>
      <c r="S97">
        <v>45614</v>
      </c>
      <c r="T97" t="s">
        <v>199</v>
      </c>
      <c r="U97" t="s">
        <v>198</v>
      </c>
    </row>
    <row r="98" spans="1:21" x14ac:dyDescent="0.3">
      <c r="A98">
        <v>98</v>
      </c>
      <c r="B98">
        <v>1718949</v>
      </c>
      <c r="C98">
        <v>1286883</v>
      </c>
      <c r="D98" t="s">
        <v>131</v>
      </c>
      <c r="E98" t="s">
        <v>252</v>
      </c>
      <c r="G98" t="s">
        <v>8</v>
      </c>
      <c r="H98" t="s">
        <v>150</v>
      </c>
      <c r="I98" t="s">
        <v>165</v>
      </c>
      <c r="J98" t="s">
        <v>154</v>
      </c>
      <c r="K98">
        <v>90</v>
      </c>
      <c r="L98" t="s">
        <v>168</v>
      </c>
      <c r="O98">
        <v>11649</v>
      </c>
      <c r="P98">
        <v>11749</v>
      </c>
      <c r="Q98">
        <v>45591</v>
      </c>
      <c r="R98">
        <v>45606</v>
      </c>
      <c r="S98">
        <v>45614</v>
      </c>
      <c r="T98" t="s">
        <v>199</v>
      </c>
      <c r="U98" t="s">
        <v>198</v>
      </c>
    </row>
    <row r="99" spans="1:21" x14ac:dyDescent="0.3">
      <c r="A99">
        <v>99</v>
      </c>
      <c r="D99" t="s">
        <v>253</v>
      </c>
      <c r="E99" t="s">
        <v>107</v>
      </c>
      <c r="G99" t="s">
        <v>254</v>
      </c>
      <c r="H99" t="s">
        <v>150</v>
      </c>
      <c r="I99" t="s">
        <v>153</v>
      </c>
      <c r="J99" t="s">
        <v>156</v>
      </c>
      <c r="K99">
        <v>100</v>
      </c>
      <c r="L99" t="s">
        <v>167</v>
      </c>
      <c r="O99" t="s">
        <v>255</v>
      </c>
      <c r="P99">
        <v>4800</v>
      </c>
      <c r="Q99">
        <v>45593</v>
      </c>
      <c r="R99">
        <v>45607</v>
      </c>
      <c r="S99">
        <v>45617</v>
      </c>
      <c r="T99" t="s">
        <v>199</v>
      </c>
      <c r="U99" t="s">
        <v>198</v>
      </c>
    </row>
    <row r="100" spans="1:21" x14ac:dyDescent="0.3">
      <c r="A100">
        <v>100</v>
      </c>
      <c r="D100" t="s">
        <v>253</v>
      </c>
      <c r="E100" t="s">
        <v>107</v>
      </c>
      <c r="G100" t="s">
        <v>254</v>
      </c>
      <c r="H100" t="s">
        <v>150</v>
      </c>
      <c r="I100" t="s">
        <v>153</v>
      </c>
      <c r="J100" t="s">
        <v>156</v>
      </c>
      <c r="K100">
        <v>120</v>
      </c>
      <c r="L100" t="s">
        <v>167</v>
      </c>
      <c r="O100" t="s">
        <v>256</v>
      </c>
      <c r="P100">
        <v>4800</v>
      </c>
      <c r="Q100">
        <v>45593</v>
      </c>
      <c r="R100">
        <v>45607</v>
      </c>
      <c r="S100">
        <v>45617</v>
      </c>
      <c r="T100" t="s">
        <v>199</v>
      </c>
      <c r="U100" t="s">
        <v>198</v>
      </c>
    </row>
    <row r="101" spans="1:21" x14ac:dyDescent="0.3">
      <c r="A101">
        <v>101</v>
      </c>
      <c r="B101">
        <v>1744766</v>
      </c>
      <c r="C101">
        <v>1298738</v>
      </c>
      <c r="D101" t="s">
        <v>257</v>
      </c>
      <c r="E101" t="s">
        <v>264</v>
      </c>
      <c r="G101" t="s">
        <v>8</v>
      </c>
      <c r="H101" t="s">
        <v>150</v>
      </c>
      <c r="I101" t="s">
        <v>165</v>
      </c>
      <c r="J101" t="s">
        <v>155</v>
      </c>
      <c r="K101">
        <v>80</v>
      </c>
      <c r="L101" t="s">
        <v>167</v>
      </c>
      <c r="O101">
        <v>12099</v>
      </c>
      <c r="P101" t="s">
        <v>16</v>
      </c>
      <c r="Q101">
        <v>45607</v>
      </c>
      <c r="R101">
        <v>45622</v>
      </c>
      <c r="S101">
        <v>45623</v>
      </c>
      <c r="T101" t="s">
        <v>199</v>
      </c>
      <c r="U101" t="s">
        <v>198</v>
      </c>
    </row>
    <row r="102" spans="1:21" x14ac:dyDescent="0.3">
      <c r="A102">
        <v>102</v>
      </c>
      <c r="B102">
        <v>240082226</v>
      </c>
      <c r="D102" t="s">
        <v>52</v>
      </c>
      <c r="E102" t="s">
        <v>224</v>
      </c>
      <c r="G102" t="s">
        <v>52</v>
      </c>
      <c r="H102" t="s">
        <v>205</v>
      </c>
      <c r="I102" t="s">
        <v>206</v>
      </c>
      <c r="J102" t="s">
        <v>258</v>
      </c>
      <c r="L102" t="s">
        <v>207</v>
      </c>
      <c r="M102" t="s">
        <v>259</v>
      </c>
      <c r="O102">
        <v>15872</v>
      </c>
      <c r="P102" t="s">
        <v>260</v>
      </c>
      <c r="Q102">
        <v>45604</v>
      </c>
      <c r="R102" t="s">
        <v>261</v>
      </c>
      <c r="S102">
        <v>45610</v>
      </c>
      <c r="T102" t="s">
        <v>199</v>
      </c>
      <c r="U102" t="s">
        <v>198</v>
      </c>
    </row>
    <row r="103" spans="1:21" x14ac:dyDescent="0.3">
      <c r="A103">
        <v>103</v>
      </c>
      <c r="B103" t="s">
        <v>262</v>
      </c>
      <c r="D103" t="s">
        <v>263</v>
      </c>
      <c r="E103" t="s">
        <v>34</v>
      </c>
      <c r="G103" t="s">
        <v>263</v>
      </c>
      <c r="H103" t="s">
        <v>150</v>
      </c>
      <c r="I103" t="s">
        <v>153</v>
      </c>
      <c r="J103" t="s">
        <v>177</v>
      </c>
      <c r="K103">
        <v>120</v>
      </c>
      <c r="L103" t="s">
        <v>167</v>
      </c>
      <c r="O103">
        <v>4520</v>
      </c>
      <c r="P103" t="s">
        <v>85</v>
      </c>
      <c r="Q103">
        <v>45606</v>
      </c>
      <c r="R103">
        <v>45618</v>
      </c>
      <c r="S103">
        <v>45617</v>
      </c>
      <c r="T103" t="s">
        <v>199</v>
      </c>
      <c r="U103" t="s">
        <v>198</v>
      </c>
    </row>
    <row r="104" spans="1:21" x14ac:dyDescent="0.3">
      <c r="A104">
        <v>104</v>
      </c>
      <c r="B104" t="s">
        <v>265</v>
      </c>
      <c r="D104" t="s">
        <v>83</v>
      </c>
      <c r="E104" t="s">
        <v>200</v>
      </c>
      <c r="G104" t="s">
        <v>56</v>
      </c>
      <c r="H104" t="s">
        <v>150</v>
      </c>
      <c r="I104" t="s">
        <v>165</v>
      </c>
      <c r="J104" t="s">
        <v>154</v>
      </c>
      <c r="K104">
        <v>90</v>
      </c>
      <c r="L104" t="s">
        <v>168</v>
      </c>
      <c r="O104">
        <v>5766</v>
      </c>
      <c r="P104" t="s">
        <v>85</v>
      </c>
      <c r="Q104">
        <v>45608</v>
      </c>
      <c r="R104">
        <v>45622</v>
      </c>
      <c r="S104">
        <v>45621</v>
      </c>
      <c r="T104" t="s">
        <v>199</v>
      </c>
      <c r="U104" t="s">
        <v>198</v>
      </c>
    </row>
    <row r="105" spans="1:21" x14ac:dyDescent="0.3">
      <c r="A105">
        <v>105</v>
      </c>
      <c r="B105">
        <v>1752544</v>
      </c>
      <c r="C105">
        <v>1302011</v>
      </c>
      <c r="D105" t="s">
        <v>266</v>
      </c>
      <c r="E105" t="s">
        <v>107</v>
      </c>
      <c r="G105" t="s">
        <v>8</v>
      </c>
      <c r="H105" t="s">
        <v>150</v>
      </c>
      <c r="I105" t="s">
        <v>153</v>
      </c>
      <c r="J105" t="s">
        <v>177</v>
      </c>
      <c r="K105">
        <v>160</v>
      </c>
      <c r="L105" t="s">
        <v>173</v>
      </c>
      <c r="O105">
        <v>11395</v>
      </c>
      <c r="P105" t="s">
        <v>16</v>
      </c>
      <c r="Q105">
        <v>45608</v>
      </c>
      <c r="R105">
        <v>45620</v>
      </c>
      <c r="S105">
        <v>45623</v>
      </c>
      <c r="T105" t="s">
        <v>199</v>
      </c>
      <c r="U105" t="s">
        <v>198</v>
      </c>
    </row>
    <row r="106" spans="1:21" x14ac:dyDescent="0.3">
      <c r="A106">
        <v>106</v>
      </c>
      <c r="B106">
        <v>1755075</v>
      </c>
      <c r="C106">
        <v>1303159</v>
      </c>
      <c r="D106" t="s">
        <v>267</v>
      </c>
      <c r="E106" t="s">
        <v>34</v>
      </c>
      <c r="G106" t="s">
        <v>8</v>
      </c>
      <c r="H106" t="s">
        <v>150</v>
      </c>
      <c r="I106" t="s">
        <v>165</v>
      </c>
      <c r="J106" t="s">
        <v>268</v>
      </c>
      <c r="K106">
        <v>80</v>
      </c>
      <c r="L106" t="s">
        <v>167</v>
      </c>
      <c r="O106">
        <v>12919</v>
      </c>
      <c r="P106" t="s">
        <v>16</v>
      </c>
      <c r="Q106">
        <v>45610</v>
      </c>
      <c r="R106">
        <v>45626</v>
      </c>
      <c r="S106">
        <v>45623</v>
      </c>
      <c r="T106" t="s">
        <v>199</v>
      </c>
      <c r="U106" t="s">
        <v>198</v>
      </c>
    </row>
    <row r="107" spans="1:21" x14ac:dyDescent="0.3">
      <c r="A107">
        <v>107</v>
      </c>
      <c r="B107" t="s">
        <v>269</v>
      </c>
      <c r="D107" t="s">
        <v>83</v>
      </c>
      <c r="E107" t="s">
        <v>200</v>
      </c>
      <c r="G107" t="s">
        <v>56</v>
      </c>
      <c r="H107" t="s">
        <v>270</v>
      </c>
      <c r="I107" t="s">
        <v>165</v>
      </c>
      <c r="J107" t="s">
        <v>152</v>
      </c>
      <c r="K107">
        <v>120</v>
      </c>
      <c r="L107" t="s">
        <v>172</v>
      </c>
      <c r="O107">
        <v>6376</v>
      </c>
      <c r="P107" t="s">
        <v>85</v>
      </c>
      <c r="Q107">
        <v>45610</v>
      </c>
      <c r="R107">
        <v>45623</v>
      </c>
      <c r="S107">
        <v>45621</v>
      </c>
      <c r="T107" t="s">
        <v>199</v>
      </c>
      <c r="U107" t="s">
        <v>198</v>
      </c>
    </row>
    <row r="108" spans="1:21" x14ac:dyDescent="0.3">
      <c r="A108">
        <v>108</v>
      </c>
      <c r="B108" t="s">
        <v>271</v>
      </c>
      <c r="D108" t="s">
        <v>83</v>
      </c>
      <c r="E108" t="s">
        <v>272</v>
      </c>
      <c r="G108" t="s">
        <v>56</v>
      </c>
      <c r="H108" t="s">
        <v>150</v>
      </c>
      <c r="I108" t="s">
        <v>273</v>
      </c>
      <c r="J108" t="s">
        <v>152</v>
      </c>
      <c r="K108">
        <v>90</v>
      </c>
      <c r="L108" t="s">
        <v>168</v>
      </c>
      <c r="O108">
        <v>5294</v>
      </c>
      <c r="P108" t="s">
        <v>85</v>
      </c>
      <c r="Q108">
        <v>45610</v>
      </c>
      <c r="R108">
        <v>45623</v>
      </c>
      <c r="S108">
        <v>45621</v>
      </c>
      <c r="T108" t="s">
        <v>199</v>
      </c>
      <c r="U108" t="s">
        <v>198</v>
      </c>
    </row>
    <row r="109" spans="1:21" x14ac:dyDescent="0.3">
      <c r="A109">
        <v>109</v>
      </c>
      <c r="B109">
        <v>265453625</v>
      </c>
      <c r="D109" t="s">
        <v>275</v>
      </c>
      <c r="E109" t="s">
        <v>39</v>
      </c>
      <c r="F109">
        <v>1277038843</v>
      </c>
      <c r="G109" t="s">
        <v>276</v>
      </c>
      <c r="H109" t="s">
        <v>270</v>
      </c>
      <c r="I109" t="s">
        <v>273</v>
      </c>
      <c r="J109" t="s">
        <v>277</v>
      </c>
      <c r="K109">
        <v>80</v>
      </c>
      <c r="L109" t="s">
        <v>167</v>
      </c>
      <c r="O109">
        <v>7396</v>
      </c>
      <c r="P109" t="s">
        <v>16</v>
      </c>
      <c r="Q109">
        <v>45613</v>
      </c>
      <c r="R109">
        <v>45624</v>
      </c>
      <c r="S109">
        <v>45622</v>
      </c>
      <c r="T109" t="s">
        <v>199</v>
      </c>
      <c r="U109" t="s">
        <v>198</v>
      </c>
    </row>
    <row r="110" spans="1:21" x14ac:dyDescent="0.3">
      <c r="A110">
        <v>110</v>
      </c>
      <c r="B110">
        <v>1762617</v>
      </c>
      <c r="C110">
        <v>1306879</v>
      </c>
      <c r="D110" t="s">
        <v>131</v>
      </c>
      <c r="E110" t="s">
        <v>278</v>
      </c>
      <c r="G110" t="s">
        <v>8</v>
      </c>
      <c r="H110" t="s">
        <v>150</v>
      </c>
      <c r="I110" t="s">
        <v>165</v>
      </c>
      <c r="J110" t="s">
        <v>154</v>
      </c>
      <c r="K110">
        <v>90</v>
      </c>
      <c r="L110" t="s">
        <v>168</v>
      </c>
      <c r="O110">
        <v>13439</v>
      </c>
      <c r="P110">
        <v>13575</v>
      </c>
      <c r="Q110">
        <v>45616</v>
      </c>
      <c r="R110">
        <v>45631</v>
      </c>
      <c r="S110">
        <v>45622</v>
      </c>
      <c r="T110" t="s">
        <v>199</v>
      </c>
      <c r="U110" t="s">
        <v>198</v>
      </c>
    </row>
    <row r="111" spans="1:21" x14ac:dyDescent="0.3">
      <c r="A111">
        <v>111</v>
      </c>
      <c r="D111" t="s">
        <v>41</v>
      </c>
      <c r="E111" t="s">
        <v>46</v>
      </c>
      <c r="G111" t="s">
        <v>41</v>
      </c>
      <c r="H111" t="s">
        <v>150</v>
      </c>
      <c r="I111" t="s">
        <v>279</v>
      </c>
      <c r="J111" t="s">
        <v>280</v>
      </c>
      <c r="K111">
        <v>160</v>
      </c>
      <c r="L111" t="s">
        <v>168</v>
      </c>
      <c r="O111">
        <v>5100</v>
      </c>
      <c r="P111" t="s">
        <v>85</v>
      </c>
      <c r="Q111">
        <v>45610</v>
      </c>
      <c r="R111">
        <v>45634</v>
      </c>
    </row>
    <row r="112" spans="1:21" x14ac:dyDescent="0.3">
      <c r="A112">
        <v>112</v>
      </c>
      <c r="D112" t="s">
        <v>281</v>
      </c>
      <c r="E112" t="s">
        <v>49</v>
      </c>
      <c r="G112" t="s">
        <v>282</v>
      </c>
      <c r="H112" t="s">
        <v>270</v>
      </c>
      <c r="I112" t="s">
        <v>153</v>
      </c>
      <c r="J112" t="s">
        <v>283</v>
      </c>
      <c r="K112">
        <v>160</v>
      </c>
      <c r="L112" t="s">
        <v>176</v>
      </c>
      <c r="M112" t="s">
        <v>167</v>
      </c>
      <c r="O112" t="s">
        <v>284</v>
      </c>
      <c r="P112">
        <v>5800</v>
      </c>
      <c r="Q112">
        <v>45618</v>
      </c>
      <c r="R112">
        <v>45628</v>
      </c>
      <c r="S112">
        <v>45623</v>
      </c>
      <c r="T112" t="s">
        <v>199</v>
      </c>
      <c r="U112" t="s">
        <v>198</v>
      </c>
    </row>
    <row r="113" spans="1:21" x14ac:dyDescent="0.3">
      <c r="A113">
        <v>113</v>
      </c>
      <c r="B113">
        <v>1765451</v>
      </c>
      <c r="C113">
        <v>1308241</v>
      </c>
      <c r="D113" t="s">
        <v>285</v>
      </c>
      <c r="E113" t="s">
        <v>286</v>
      </c>
      <c r="G113" t="s">
        <v>8</v>
      </c>
      <c r="H113" t="s">
        <v>150</v>
      </c>
      <c r="I113" t="s">
        <v>279</v>
      </c>
      <c r="J113" t="s">
        <v>287</v>
      </c>
      <c r="K113">
        <v>120</v>
      </c>
      <c r="L113" t="s">
        <v>172</v>
      </c>
      <c r="O113">
        <v>10885</v>
      </c>
      <c r="P113">
        <v>7965</v>
      </c>
      <c r="Q113">
        <v>45620</v>
      </c>
      <c r="R113">
        <v>45631</v>
      </c>
      <c r="S113">
        <v>45636</v>
      </c>
      <c r="T113" t="s">
        <v>199</v>
      </c>
      <c r="U113" t="s">
        <v>198</v>
      </c>
    </row>
    <row r="114" spans="1:21" x14ac:dyDescent="0.3">
      <c r="A114">
        <v>114</v>
      </c>
      <c r="D114" t="s">
        <v>41</v>
      </c>
      <c r="E114" t="s">
        <v>46</v>
      </c>
      <c r="G114" t="s">
        <v>43</v>
      </c>
      <c r="H114" t="s">
        <v>205</v>
      </c>
      <c r="I114" t="s">
        <v>288</v>
      </c>
      <c r="J114" t="s">
        <v>288</v>
      </c>
      <c r="O114">
        <v>6000</v>
      </c>
      <c r="P114">
        <v>6000</v>
      </c>
      <c r="Q114">
        <v>45615</v>
      </c>
      <c r="R114">
        <v>45631</v>
      </c>
      <c r="S114">
        <v>45616</v>
      </c>
      <c r="T114" t="s">
        <v>289</v>
      </c>
      <c r="U114" t="s">
        <v>198</v>
      </c>
    </row>
    <row r="115" spans="1:21" x14ac:dyDescent="0.3">
      <c r="A115">
        <v>115</v>
      </c>
      <c r="B115">
        <v>1782674</v>
      </c>
      <c r="C115">
        <v>1315860</v>
      </c>
      <c r="D115" t="s">
        <v>290</v>
      </c>
      <c r="E115" t="s">
        <v>291</v>
      </c>
      <c r="G115" t="s">
        <v>8</v>
      </c>
      <c r="H115" t="s">
        <v>292</v>
      </c>
      <c r="J115" t="s">
        <v>293</v>
      </c>
      <c r="O115">
        <v>8449</v>
      </c>
      <c r="P115" t="s">
        <v>16</v>
      </c>
      <c r="Q115">
        <v>45623</v>
      </c>
      <c r="R115">
        <v>45636</v>
      </c>
      <c r="S115">
        <v>45649</v>
      </c>
      <c r="T115" t="s">
        <v>28</v>
      </c>
      <c r="U115" t="s">
        <v>198</v>
      </c>
    </row>
    <row r="116" spans="1:21" x14ac:dyDescent="0.3">
      <c r="A116">
        <v>116</v>
      </c>
      <c r="B116">
        <v>1781530</v>
      </c>
      <c r="C116">
        <v>1315450</v>
      </c>
      <c r="D116" t="s">
        <v>294</v>
      </c>
      <c r="E116" t="s">
        <v>59</v>
      </c>
      <c r="G116" t="s">
        <v>8</v>
      </c>
      <c r="H116" t="s">
        <v>292</v>
      </c>
      <c r="I116" t="s">
        <v>295</v>
      </c>
      <c r="J116" t="s">
        <v>296</v>
      </c>
      <c r="L116" t="s">
        <v>167</v>
      </c>
      <c r="M116" t="s">
        <v>297</v>
      </c>
      <c r="O116">
        <v>10249</v>
      </c>
      <c r="P116">
        <v>6211</v>
      </c>
      <c r="Q116">
        <v>45623</v>
      </c>
      <c r="R116">
        <v>45636</v>
      </c>
      <c r="S116">
        <v>45645</v>
      </c>
      <c r="T116" t="s">
        <v>199</v>
      </c>
      <c r="U116" t="s">
        <v>198</v>
      </c>
    </row>
    <row r="117" spans="1:21" x14ac:dyDescent="0.3">
      <c r="A117">
        <v>117</v>
      </c>
      <c r="B117">
        <v>1795447</v>
      </c>
      <c r="C117">
        <v>1321584</v>
      </c>
      <c r="D117" t="s">
        <v>298</v>
      </c>
      <c r="E117" t="s">
        <v>299</v>
      </c>
      <c r="G117" t="s">
        <v>8</v>
      </c>
      <c r="H117" t="s">
        <v>150</v>
      </c>
      <c r="I117" t="s">
        <v>165</v>
      </c>
      <c r="J117" t="s">
        <v>155</v>
      </c>
      <c r="K117">
        <v>100</v>
      </c>
      <c r="L117" t="s">
        <v>168</v>
      </c>
      <c r="O117">
        <v>14905</v>
      </c>
      <c r="P117" t="s">
        <v>16</v>
      </c>
      <c r="Q117">
        <v>45625</v>
      </c>
      <c r="R117">
        <v>45641</v>
      </c>
      <c r="T117" t="s">
        <v>319</v>
      </c>
      <c r="U117" t="s">
        <v>236</v>
      </c>
    </row>
    <row r="118" spans="1:21" x14ac:dyDescent="0.3">
      <c r="A118">
        <v>118</v>
      </c>
      <c r="B118">
        <v>1808440</v>
      </c>
      <c r="C118">
        <v>1327172</v>
      </c>
      <c r="D118" t="s">
        <v>300</v>
      </c>
      <c r="E118" t="s">
        <v>67</v>
      </c>
      <c r="G118" t="s">
        <v>8</v>
      </c>
      <c r="H118" t="s">
        <v>301</v>
      </c>
      <c r="I118" t="s">
        <v>295</v>
      </c>
      <c r="J118" t="s">
        <v>296</v>
      </c>
      <c r="L118" t="s">
        <v>207</v>
      </c>
      <c r="M118" t="s">
        <v>302</v>
      </c>
      <c r="O118">
        <v>10249</v>
      </c>
      <c r="P118" t="s">
        <v>16</v>
      </c>
      <c r="Q118">
        <v>45626</v>
      </c>
      <c r="R118">
        <v>45638</v>
      </c>
      <c r="U118" t="s">
        <v>236</v>
      </c>
    </row>
    <row r="119" spans="1:21" x14ac:dyDescent="0.3">
      <c r="A119">
        <v>119</v>
      </c>
      <c r="B119">
        <v>1808441</v>
      </c>
      <c r="C119">
        <v>1327172</v>
      </c>
      <c r="D119" t="s">
        <v>303</v>
      </c>
      <c r="E119" t="s">
        <v>67</v>
      </c>
      <c r="G119" t="s">
        <v>304</v>
      </c>
      <c r="H119" t="s">
        <v>301</v>
      </c>
      <c r="I119" t="s">
        <v>189</v>
      </c>
      <c r="L119" t="s">
        <v>168</v>
      </c>
      <c r="M119" t="s">
        <v>305</v>
      </c>
      <c r="O119">
        <v>9029</v>
      </c>
      <c r="P119" t="s">
        <v>16</v>
      </c>
      <c r="Q119">
        <v>45626</v>
      </c>
      <c r="R119">
        <v>45638</v>
      </c>
      <c r="U119" t="s">
        <v>236</v>
      </c>
    </row>
    <row r="120" spans="1:21" x14ac:dyDescent="0.3">
      <c r="A120">
        <v>120</v>
      </c>
      <c r="B120">
        <v>1805052</v>
      </c>
      <c r="C120">
        <v>1325637</v>
      </c>
      <c r="D120" t="s">
        <v>306</v>
      </c>
      <c r="E120" t="s">
        <v>144</v>
      </c>
      <c r="G120" t="s">
        <v>304</v>
      </c>
      <c r="H120" t="s">
        <v>292</v>
      </c>
      <c r="I120" t="s">
        <v>307</v>
      </c>
      <c r="L120" t="s">
        <v>207</v>
      </c>
      <c r="M120" t="s">
        <v>308</v>
      </c>
      <c r="O120">
        <v>9029</v>
      </c>
      <c r="P120" t="s">
        <v>16</v>
      </c>
      <c r="Q120">
        <v>45626</v>
      </c>
      <c r="R120">
        <v>45638</v>
      </c>
    </row>
    <row r="121" spans="1:21" x14ac:dyDescent="0.3">
      <c r="A121">
        <v>121</v>
      </c>
      <c r="B121">
        <v>1813823</v>
      </c>
      <c r="C121">
        <v>1329646</v>
      </c>
      <c r="D121" t="s">
        <v>309</v>
      </c>
      <c r="E121" t="s">
        <v>310</v>
      </c>
      <c r="G121" t="s">
        <v>8</v>
      </c>
      <c r="H121" t="s">
        <v>150</v>
      </c>
      <c r="I121" t="s">
        <v>273</v>
      </c>
      <c r="J121" t="s">
        <v>152</v>
      </c>
      <c r="K121">
        <v>80</v>
      </c>
      <c r="L121" t="s">
        <v>167</v>
      </c>
      <c r="O121">
        <v>12099</v>
      </c>
      <c r="P121" t="s">
        <v>16</v>
      </c>
      <c r="Q121">
        <v>45628</v>
      </c>
      <c r="R121">
        <v>45643</v>
      </c>
      <c r="U121" t="s">
        <v>236</v>
      </c>
    </row>
    <row r="122" spans="1:21" x14ac:dyDescent="0.3">
      <c r="A122">
        <v>122</v>
      </c>
      <c r="B122" t="s">
        <v>311</v>
      </c>
      <c r="D122" t="s">
        <v>83</v>
      </c>
      <c r="E122" t="s">
        <v>200</v>
      </c>
      <c r="G122" t="s">
        <v>56</v>
      </c>
      <c r="H122" t="s">
        <v>150</v>
      </c>
      <c r="I122" t="s">
        <v>273</v>
      </c>
      <c r="J122" t="s">
        <v>277</v>
      </c>
      <c r="K122">
        <v>90</v>
      </c>
      <c r="L122" t="s">
        <v>170</v>
      </c>
      <c r="O122">
        <v>5217</v>
      </c>
      <c r="P122" t="s">
        <v>85</v>
      </c>
      <c r="Q122">
        <v>45627</v>
      </c>
      <c r="R122">
        <v>45640</v>
      </c>
      <c r="S122">
        <v>45636</v>
      </c>
      <c r="T122" t="s">
        <v>199</v>
      </c>
      <c r="U122" t="s">
        <v>198</v>
      </c>
    </row>
    <row r="123" spans="1:21" x14ac:dyDescent="0.3">
      <c r="A123">
        <v>123</v>
      </c>
      <c r="B123">
        <v>1810950</v>
      </c>
      <c r="C123">
        <v>1328141</v>
      </c>
      <c r="D123" t="s">
        <v>312</v>
      </c>
      <c r="E123" t="s">
        <v>135</v>
      </c>
      <c r="G123" t="s">
        <v>8</v>
      </c>
      <c r="H123" t="s">
        <v>270</v>
      </c>
      <c r="I123" t="s">
        <v>151</v>
      </c>
      <c r="L123" t="s">
        <v>168</v>
      </c>
      <c r="M123" t="s">
        <v>168</v>
      </c>
      <c r="O123">
        <v>10249</v>
      </c>
      <c r="P123">
        <v>6211</v>
      </c>
      <c r="Q123">
        <v>45630</v>
      </c>
      <c r="R123">
        <v>45640</v>
      </c>
      <c r="S123">
        <v>45645</v>
      </c>
      <c r="T123" t="s">
        <v>199</v>
      </c>
      <c r="U123" t="s">
        <v>198</v>
      </c>
    </row>
    <row r="124" spans="1:21" x14ac:dyDescent="0.3">
      <c r="A124">
        <v>124</v>
      </c>
      <c r="B124">
        <v>240085463</v>
      </c>
      <c r="D124" t="s">
        <v>313</v>
      </c>
      <c r="E124" t="s">
        <v>314</v>
      </c>
      <c r="G124" t="s">
        <v>52</v>
      </c>
      <c r="H124" t="s">
        <v>150</v>
      </c>
      <c r="I124" t="s">
        <v>165</v>
      </c>
      <c r="J124" t="s">
        <v>154</v>
      </c>
      <c r="L124" t="s">
        <v>168</v>
      </c>
      <c r="O124">
        <v>10445</v>
      </c>
      <c r="P124">
        <v>7707</v>
      </c>
      <c r="Q124">
        <v>45635</v>
      </c>
      <c r="R124">
        <v>45657</v>
      </c>
      <c r="S124">
        <v>45638</v>
      </c>
      <c r="T124" t="s">
        <v>199</v>
      </c>
      <c r="U124" t="s">
        <v>198</v>
      </c>
    </row>
    <row r="125" spans="1:21" x14ac:dyDescent="0.3">
      <c r="A125">
        <v>125</v>
      </c>
      <c r="B125">
        <v>1818591</v>
      </c>
      <c r="C125">
        <v>1332300</v>
      </c>
      <c r="D125" t="s">
        <v>315</v>
      </c>
      <c r="E125" t="s">
        <v>67</v>
      </c>
      <c r="G125" t="s">
        <v>8</v>
      </c>
      <c r="H125" t="s">
        <v>292</v>
      </c>
      <c r="I125" t="s">
        <v>316</v>
      </c>
      <c r="J125" t="s">
        <v>296</v>
      </c>
      <c r="L125" t="s">
        <v>207</v>
      </c>
      <c r="M125" t="s">
        <v>302</v>
      </c>
      <c r="O125">
        <v>11199</v>
      </c>
      <c r="P125">
        <v>11257</v>
      </c>
      <c r="Q125">
        <v>45638</v>
      </c>
      <c r="R125">
        <v>45650</v>
      </c>
      <c r="S125">
        <v>45645</v>
      </c>
      <c r="T125" t="s">
        <v>199</v>
      </c>
      <c r="U125" t="s">
        <v>198</v>
      </c>
    </row>
    <row r="126" spans="1:21" x14ac:dyDescent="0.3">
      <c r="A126">
        <v>126</v>
      </c>
      <c r="B126">
        <v>1818396</v>
      </c>
      <c r="C126">
        <v>1332179</v>
      </c>
      <c r="D126" t="s">
        <v>317</v>
      </c>
      <c r="E126" t="s">
        <v>278</v>
      </c>
      <c r="G126" t="s">
        <v>8</v>
      </c>
      <c r="H126" t="s">
        <v>270</v>
      </c>
      <c r="I126" t="s">
        <v>165</v>
      </c>
      <c r="J126" t="s">
        <v>152</v>
      </c>
      <c r="K126">
        <v>80</v>
      </c>
      <c r="L126" t="s">
        <v>168</v>
      </c>
      <c r="O126">
        <v>13099</v>
      </c>
      <c r="P126">
        <v>13231</v>
      </c>
      <c r="Q126">
        <v>45638</v>
      </c>
      <c r="R126">
        <v>45654</v>
      </c>
      <c r="S126">
        <v>45655</v>
      </c>
      <c r="T126" t="s">
        <v>199</v>
      </c>
      <c r="U126" t="s">
        <v>198</v>
      </c>
    </row>
    <row r="127" spans="1:21" x14ac:dyDescent="0.3">
      <c r="A127">
        <v>127</v>
      </c>
      <c r="B127">
        <v>240085758</v>
      </c>
      <c r="D127" t="s">
        <v>52</v>
      </c>
      <c r="E127" t="s">
        <v>224</v>
      </c>
      <c r="G127" t="s">
        <v>52</v>
      </c>
      <c r="H127" t="s">
        <v>205</v>
      </c>
      <c r="I127" t="s">
        <v>206</v>
      </c>
      <c r="J127" t="s">
        <v>258</v>
      </c>
      <c r="L127" t="s">
        <v>207</v>
      </c>
      <c r="M127" t="s">
        <v>318</v>
      </c>
      <c r="O127">
        <v>8700</v>
      </c>
      <c r="P127" t="s">
        <v>85</v>
      </c>
      <c r="Q127">
        <v>45640</v>
      </c>
      <c r="R127">
        <v>45662</v>
      </c>
      <c r="S127">
        <v>45655</v>
      </c>
      <c r="T127" t="s">
        <v>199</v>
      </c>
      <c r="U127" t="s">
        <v>198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6DAF0-5E05-4B51-86C3-52CD61625127}">
  <dimension ref="A1:BH28"/>
  <sheetViews>
    <sheetView topLeftCell="AT1" zoomScale="104" zoomScaleNormal="145" workbookViewId="0">
      <selection activeCell="F388" sqref="F388"/>
    </sheetView>
  </sheetViews>
  <sheetFormatPr defaultRowHeight="14.4" x14ac:dyDescent="0.3"/>
  <cols>
    <col min="1" max="1" width="12.6640625" bestFit="1" customWidth="1"/>
    <col min="2" max="2" width="16.88671875" bestFit="1" customWidth="1"/>
    <col min="3" max="3" width="8.6640625" bestFit="1" customWidth="1"/>
    <col min="4" max="4" width="3.33203125" bestFit="1" customWidth="1"/>
    <col min="5" max="5" width="8.6640625" bestFit="1" customWidth="1"/>
    <col min="6" max="6" width="6.77734375" style="9" bestFit="1" customWidth="1"/>
    <col min="7" max="7" width="5.33203125" bestFit="1" customWidth="1"/>
    <col min="8" max="8" width="4.44140625" bestFit="1" customWidth="1"/>
    <col min="9" max="9" width="8" bestFit="1" customWidth="1"/>
    <col min="10" max="10" width="10.88671875" bestFit="1" customWidth="1"/>
    <col min="12" max="12" width="12.6640625" bestFit="1" customWidth="1"/>
    <col min="13" max="13" width="15.77734375" bestFit="1" customWidth="1"/>
    <col min="14" max="14" width="8.88671875" style="9"/>
    <col min="15" max="15" width="12.6640625" bestFit="1" customWidth="1"/>
    <col min="16" max="16" width="13.77734375" bestFit="1" customWidth="1"/>
    <col min="17" max="17" width="8.88671875" style="9"/>
    <col min="18" max="18" width="12.6640625" bestFit="1" customWidth="1"/>
    <col min="19" max="19" width="12.109375" bestFit="1" customWidth="1"/>
    <col min="20" max="20" width="8.88671875" style="9"/>
    <col min="21" max="21" width="12.6640625" bestFit="1" customWidth="1"/>
    <col min="22" max="22" width="12" bestFit="1" customWidth="1"/>
    <col min="23" max="23" width="8.88671875" style="9"/>
    <col min="24" max="24" width="12.6640625" bestFit="1" customWidth="1"/>
    <col min="25" max="25" width="12.77734375" bestFit="1" customWidth="1"/>
    <col min="26" max="26" width="10" bestFit="1" customWidth="1"/>
    <col min="27" max="27" width="5.33203125" bestFit="1" customWidth="1"/>
    <col min="28" max="28" width="7" bestFit="1" customWidth="1"/>
    <col min="29" max="29" width="10.88671875" style="9" bestFit="1" customWidth="1"/>
    <col min="30" max="30" width="10.77734375" bestFit="1" customWidth="1"/>
    <col min="31" max="31" width="12.6640625" bestFit="1" customWidth="1"/>
    <col min="32" max="32" width="17.33203125" bestFit="1" customWidth="1"/>
    <col min="33" max="33" width="5.44140625" bestFit="1" customWidth="1"/>
    <col min="34" max="34" width="10.88671875" bestFit="1" customWidth="1"/>
    <col min="35" max="35" width="8.88671875" style="9"/>
    <col min="36" max="36" width="12.6640625" bestFit="1" customWidth="1"/>
    <col min="37" max="37" width="8.88671875" style="9"/>
    <col min="38" max="38" width="11.44140625" bestFit="1" customWidth="1"/>
    <col min="39" max="39" width="8.88671875" style="9"/>
    <col min="40" max="40" width="16.21875" bestFit="1" customWidth="1"/>
    <col min="41" max="41" width="16.5546875" style="9" bestFit="1" customWidth="1"/>
    <col min="42" max="42" width="16.5546875" bestFit="1" customWidth="1"/>
    <col min="43" max="43" width="23.21875" bestFit="1" customWidth="1"/>
    <col min="44" max="44" width="8.88671875" style="11"/>
    <col min="45" max="45" width="16.5546875" bestFit="1" customWidth="1"/>
    <col min="46" max="46" width="23.21875" bestFit="1" customWidth="1"/>
    <col min="47" max="47" width="8.88671875" style="12"/>
    <col min="48" max="48" width="12.6640625" bestFit="1" customWidth="1"/>
    <col min="49" max="49" width="16.44140625" bestFit="1" customWidth="1"/>
    <col min="51" max="51" width="8.88671875" style="11"/>
    <col min="52" max="53" width="12.6640625" bestFit="1" customWidth="1"/>
    <col min="56" max="56" width="8.88671875" style="11"/>
    <col min="57" max="58" width="12.6640625" bestFit="1" customWidth="1"/>
  </cols>
  <sheetData>
    <row r="1" spans="1:60" x14ac:dyDescent="0.3">
      <c r="A1" s="3" t="s">
        <v>384</v>
      </c>
      <c r="B1" t="s">
        <v>385</v>
      </c>
    </row>
    <row r="2" spans="1:60" x14ac:dyDescent="0.3">
      <c r="A2" s="4" t="s">
        <v>43</v>
      </c>
      <c r="B2" s="1">
        <v>3</v>
      </c>
      <c r="L2" s="3" t="s">
        <v>384</v>
      </c>
      <c r="M2" t="s">
        <v>386</v>
      </c>
      <c r="O2" s="3" t="s">
        <v>384</v>
      </c>
      <c r="P2" t="s">
        <v>391</v>
      </c>
      <c r="R2" s="3" t="s">
        <v>384</v>
      </c>
      <c r="S2" t="s">
        <v>400</v>
      </c>
      <c r="T2"/>
      <c r="U2" s="3" t="s">
        <v>384</v>
      </c>
      <c r="V2" t="s">
        <v>392</v>
      </c>
      <c r="AZ2" s="3" t="s">
        <v>384</v>
      </c>
      <c r="BA2" t="s">
        <v>394</v>
      </c>
      <c r="BE2" s="13"/>
      <c r="BF2" s="14"/>
      <c r="BG2" s="15"/>
    </row>
    <row r="3" spans="1:60" x14ac:dyDescent="0.3">
      <c r="A3" s="4" t="s">
        <v>383</v>
      </c>
      <c r="B3" s="1">
        <v>3</v>
      </c>
      <c r="L3" s="4" t="s">
        <v>326</v>
      </c>
      <c r="M3" s="1">
        <v>3</v>
      </c>
      <c r="O3" s="4" t="s">
        <v>205</v>
      </c>
      <c r="P3" s="1">
        <v>3</v>
      </c>
      <c r="R3" s="4" t="s">
        <v>382</v>
      </c>
      <c r="S3" s="1"/>
      <c r="T3"/>
      <c r="U3" s="4" t="s">
        <v>344</v>
      </c>
      <c r="V3" s="1">
        <v>3</v>
      </c>
      <c r="X3" s="3" t="s">
        <v>384</v>
      </c>
      <c r="Y3" t="s">
        <v>398</v>
      </c>
      <c r="AS3" s="3" t="s">
        <v>384</v>
      </c>
      <c r="AT3" t="s">
        <v>402</v>
      </c>
      <c r="AV3" s="3" t="s">
        <v>384</v>
      </c>
      <c r="AW3" t="s">
        <v>406</v>
      </c>
      <c r="AZ3" s="4" t="s">
        <v>408</v>
      </c>
      <c r="BA3" s="1">
        <v>24000</v>
      </c>
      <c r="BE3" s="16"/>
      <c r="BF3" s="17"/>
      <c r="BG3" s="18"/>
    </row>
    <row r="4" spans="1:60" x14ac:dyDescent="0.3">
      <c r="L4" s="4" t="s">
        <v>383</v>
      </c>
      <c r="M4" s="1">
        <v>3</v>
      </c>
      <c r="O4" s="4" t="s">
        <v>383</v>
      </c>
      <c r="P4" s="1">
        <v>3</v>
      </c>
      <c r="R4" s="4" t="s">
        <v>383</v>
      </c>
      <c r="S4" s="1"/>
      <c r="T4"/>
      <c r="U4" s="4" t="s">
        <v>383</v>
      </c>
      <c r="V4" s="1">
        <v>3</v>
      </c>
      <c r="X4" s="4" t="s">
        <v>198</v>
      </c>
      <c r="Y4" s="8">
        <v>0.66666666666666663</v>
      </c>
      <c r="AE4" s="3" t="s">
        <v>384</v>
      </c>
      <c r="AF4" t="s">
        <v>401</v>
      </c>
      <c r="AJ4" t="s">
        <v>394</v>
      </c>
      <c r="AL4" t="s">
        <v>395</v>
      </c>
      <c r="AN4" t="s">
        <v>403</v>
      </c>
      <c r="AO4"/>
      <c r="AP4" s="3" t="s">
        <v>384</v>
      </c>
      <c r="AQ4" t="s">
        <v>402</v>
      </c>
      <c r="AS4" s="4" t="s">
        <v>382</v>
      </c>
      <c r="AT4" s="1"/>
      <c r="AV4" s="4" t="s">
        <v>405</v>
      </c>
      <c r="AW4" s="1">
        <v>2</v>
      </c>
      <c r="AZ4" s="4" t="s">
        <v>383</v>
      </c>
      <c r="BA4" s="1">
        <v>24000</v>
      </c>
      <c r="BE4" s="16"/>
      <c r="BF4" s="17"/>
      <c r="BG4" s="18"/>
    </row>
    <row r="5" spans="1:60" x14ac:dyDescent="0.3">
      <c r="T5"/>
      <c r="X5" s="4" t="s">
        <v>192</v>
      </c>
      <c r="Y5" s="8">
        <v>0.33333333333333331</v>
      </c>
      <c r="AE5" s="4" t="s">
        <v>339</v>
      </c>
      <c r="AF5" s="8">
        <v>1</v>
      </c>
      <c r="AJ5" s="5">
        <v>56000</v>
      </c>
      <c r="AL5" s="1">
        <v>6</v>
      </c>
      <c r="AN5" s="1">
        <v>18666.666666666668</v>
      </c>
      <c r="AO5"/>
      <c r="AP5" s="4" t="s">
        <v>199</v>
      </c>
      <c r="AQ5" s="1">
        <v>2</v>
      </c>
      <c r="AS5" s="4" t="s">
        <v>199</v>
      </c>
      <c r="AT5" s="1">
        <v>2</v>
      </c>
      <c r="AV5" s="4" t="s">
        <v>382</v>
      </c>
      <c r="AW5" s="1"/>
      <c r="BE5" s="16"/>
      <c r="BF5" s="17"/>
      <c r="BG5" s="18"/>
    </row>
    <row r="6" spans="1:60" x14ac:dyDescent="0.3">
      <c r="T6"/>
      <c r="X6" s="4" t="s">
        <v>383</v>
      </c>
      <c r="Y6" s="8">
        <v>1</v>
      </c>
      <c r="AE6" s="4" t="s">
        <v>383</v>
      </c>
      <c r="AF6" s="8">
        <v>1</v>
      </c>
      <c r="AP6" s="4" t="s">
        <v>382</v>
      </c>
      <c r="AQ6" s="1"/>
      <c r="AS6" s="4" t="s">
        <v>383</v>
      </c>
      <c r="AT6" s="1">
        <v>2</v>
      </c>
      <c r="AV6" s="4" t="s">
        <v>383</v>
      </c>
      <c r="AW6" s="1">
        <v>2</v>
      </c>
      <c r="BE6" s="16"/>
      <c r="BF6" s="17"/>
      <c r="BG6" s="18"/>
    </row>
    <row r="7" spans="1:60" x14ac:dyDescent="0.3">
      <c r="T7"/>
      <c r="AJ7" s="6">
        <f>GETPIVOTDATA("الاجمالي",$AJ$4)</f>
        <v>56000</v>
      </c>
      <c r="AL7">
        <f>GETPIVOTDATA("الكمية",$AL$4)</f>
        <v>6</v>
      </c>
      <c r="AP7" s="4" t="s">
        <v>383</v>
      </c>
      <c r="AQ7" s="1">
        <v>2</v>
      </c>
      <c r="BE7" s="16"/>
      <c r="BF7" s="17"/>
      <c r="BG7" s="18"/>
    </row>
    <row r="8" spans="1:60" x14ac:dyDescent="0.3">
      <c r="T8"/>
      <c r="AN8" s="10">
        <f>GETPIVOTDATA("الاجمالي",$AN$4)</f>
        <v>18666.666666666668</v>
      </c>
      <c r="BE8" s="16"/>
      <c r="BF8" s="17"/>
      <c r="BG8" s="18"/>
    </row>
    <row r="9" spans="1:60" x14ac:dyDescent="0.3">
      <c r="T9"/>
      <c r="BE9" s="16"/>
      <c r="BF9" s="17"/>
      <c r="BG9" s="18"/>
    </row>
    <row r="10" spans="1:60" x14ac:dyDescent="0.3">
      <c r="T10"/>
      <c r="BE10" s="16"/>
      <c r="BF10" s="17"/>
      <c r="BG10" s="18"/>
    </row>
    <row r="11" spans="1:60" x14ac:dyDescent="0.3">
      <c r="T11"/>
      <c r="BB11" s="13"/>
      <c r="BC11" s="14"/>
      <c r="BD11" s="15"/>
      <c r="BE11" s="16"/>
      <c r="BF11" s="17"/>
      <c r="BG11" s="18"/>
    </row>
    <row r="12" spans="1:60" x14ac:dyDescent="0.3">
      <c r="T12"/>
      <c r="BB12" s="16"/>
      <c r="BC12" s="17"/>
      <c r="BD12" s="18"/>
      <c r="BE12" s="16"/>
      <c r="BF12" s="17"/>
      <c r="BG12" s="18"/>
    </row>
    <row r="13" spans="1:60" x14ac:dyDescent="0.3">
      <c r="T13"/>
      <c r="BB13" s="16"/>
      <c r="BC13" s="17"/>
      <c r="BD13" s="18"/>
      <c r="BE13" s="16"/>
      <c r="BF13" s="17"/>
      <c r="BG13" s="18"/>
    </row>
    <row r="14" spans="1:60" x14ac:dyDescent="0.3">
      <c r="T14"/>
      <c r="BB14" s="16"/>
      <c r="BC14" s="17"/>
      <c r="BD14" s="18"/>
      <c r="BE14" s="16"/>
      <c r="BF14" s="17"/>
      <c r="BG14" s="18"/>
      <c r="BH14" t="s">
        <v>409</v>
      </c>
    </row>
    <row r="15" spans="1:60" x14ac:dyDescent="0.3">
      <c r="T15"/>
      <c r="BB15" s="16"/>
      <c r="BC15" s="17"/>
      <c r="BD15" s="18"/>
      <c r="BE15" s="16"/>
      <c r="BF15" s="17"/>
      <c r="BG15" s="18"/>
    </row>
    <row r="16" spans="1:60" x14ac:dyDescent="0.3">
      <c r="T16"/>
      <c r="BB16" s="16"/>
      <c r="BC16" s="17"/>
      <c r="BD16" s="18"/>
      <c r="BE16" s="16"/>
      <c r="BF16" s="17"/>
      <c r="BG16" s="18"/>
    </row>
    <row r="17" spans="20:59" x14ac:dyDescent="0.3">
      <c r="T17"/>
      <c r="BB17" s="16"/>
      <c r="BC17" s="17"/>
      <c r="BD17" s="18"/>
      <c r="BE17" s="16"/>
      <c r="BF17" s="17"/>
      <c r="BG17" s="18"/>
    </row>
    <row r="18" spans="20:59" x14ac:dyDescent="0.3">
      <c r="T18"/>
      <c r="BB18" s="16"/>
      <c r="BC18" s="17"/>
      <c r="BD18" s="18"/>
      <c r="BE18" s="16"/>
      <c r="BF18" s="17"/>
      <c r="BG18" s="18"/>
    </row>
    <row r="19" spans="20:59" x14ac:dyDescent="0.3">
      <c r="T19"/>
      <c r="BB19" s="16"/>
      <c r="BC19" s="17"/>
      <c r="BD19" s="18"/>
      <c r="BE19" s="19"/>
      <c r="BF19" s="20"/>
      <c r="BG19" s="21"/>
    </row>
    <row r="20" spans="20:59" x14ac:dyDescent="0.3">
      <c r="BB20" s="16"/>
      <c r="BC20" s="17"/>
      <c r="BD20" s="18"/>
    </row>
    <row r="21" spans="20:59" x14ac:dyDescent="0.3">
      <c r="BB21" s="16"/>
      <c r="BC21" s="17"/>
      <c r="BD21" s="18"/>
    </row>
    <row r="22" spans="20:59" x14ac:dyDescent="0.3">
      <c r="BB22" s="16"/>
      <c r="BC22" s="17"/>
      <c r="BD22" s="18"/>
    </row>
    <row r="23" spans="20:59" x14ac:dyDescent="0.3">
      <c r="BB23" s="16"/>
      <c r="BC23" s="17"/>
      <c r="BD23" s="18"/>
    </row>
    <row r="24" spans="20:59" x14ac:dyDescent="0.3">
      <c r="BB24" s="16"/>
      <c r="BC24" s="17"/>
      <c r="BD24" s="18"/>
    </row>
    <row r="25" spans="20:59" x14ac:dyDescent="0.3">
      <c r="BB25" s="16"/>
      <c r="BC25" s="17"/>
      <c r="BD25" s="18"/>
    </row>
    <row r="26" spans="20:59" x14ac:dyDescent="0.3">
      <c r="BB26" s="16"/>
      <c r="BC26" s="17"/>
      <c r="BD26" s="18"/>
    </row>
    <row r="27" spans="20:59" x14ac:dyDescent="0.3">
      <c r="BB27" s="16"/>
      <c r="BC27" s="17"/>
      <c r="BD27" s="18"/>
    </row>
    <row r="28" spans="20:59" x14ac:dyDescent="0.3">
      <c r="BB28" s="19"/>
      <c r="BC28" s="20"/>
      <c r="BD28" s="21"/>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C7E140-ACFA-43AC-8DFE-CD2620C526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 (2)</vt:lpstr>
      <vt:lpstr>source of 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moreen victor</cp:lastModifiedBy>
  <dcterms:created xsi:type="dcterms:W3CDTF">2015-06-05T18:17:20Z</dcterms:created>
  <dcterms:modified xsi:type="dcterms:W3CDTF">2026-09-27T22:23:20Z</dcterms:modified>
</cp:coreProperties>
</file>